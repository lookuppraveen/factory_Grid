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Tasks" sheetId="2" state="visible" r:id="rId4"/>
    <sheet name="Hand-offs" sheetId="3" state="visible" r:id="rId5"/>
    <sheet name="Beta &amp; launch" sheetId="4" state="visible" r:id="rId6"/>
    <sheet name="Scope" sheetId="5" state="visible" r:id="rId7"/>
    <sheet name="Risks" sheetId="6" state="visible" r:id="rId8"/>
    <sheet name="Open questions" sheetId="7" state="visible" r:id="rId9"/>
  </sheets>
  <definedNames>
    <definedName function="false" hidden="true" localSheetId="3" name="_xlnm._FilterDatabase" vbProcedure="false">'Beta &amp; launch'!$A$1:$C$11</definedName>
    <definedName function="false" hidden="true" localSheetId="2" name="_xlnm._FilterDatabase" vbProcedure="false">'Hand-offs'!$A$1:$H$7</definedName>
    <definedName function="false" hidden="true" localSheetId="6" name="_xlnm._FilterDatabase" vbProcedure="false">'Open questions'!$A$1:$D$9</definedName>
    <definedName function="false" hidden="true" localSheetId="5" name="_xlnm._FilterDatabase" vbProcedure="false">Risks!$A$1:$D$12</definedName>
    <definedName function="false" hidden="true" localSheetId="4" name="_xlnm._FilterDatabase" vbProcedure="false">Scope!$A$1:$C$11</definedName>
    <definedName function="false" hidden="true" localSheetId="1" name="_xlnm._FilterDatabase" vbProcedure="false">Tasks!$A$1:$I$117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<sst xmlns="http://schemas.openxmlformats.org/spreadsheetml/2006/main" count="925" uniqueCount="403">
  <si>
    <t xml:space="preserve">FactoryGrid delivery tracker</t>
  </si>
  <si>
    <t xml:space="preserve">Two developers in parallel: one backend, one frontend. Built from the FactoryGrid Backend Plan and Frontend Plan (10 Oct 2026). Master plan: FactoryGrid Development Plan (Node.js).</t>
  </si>
  <si>
    <t xml:space="preserve">How to use: update the yellow Status cells on Tasks, Hand-offs and Open questions. Everything on this sheet recalculates.</t>
  </si>
  <si>
    <t xml:space="preserve">Key dates</t>
  </si>
  <si>
    <t xml:space="preserve">Days left</t>
  </si>
  <si>
    <t xml:space="preserve">Development starts</t>
  </si>
  <si>
    <t xml:space="preserve">Code freeze</t>
  </si>
  <si>
    <t xml:space="preserve">Beta opens</t>
  </si>
  <si>
    <t xml:space="preserve">Go/no-go</t>
  </si>
  <si>
    <t xml:space="preserve">Production go-live</t>
  </si>
  <si>
    <t xml:space="preserve">Final delivery</t>
  </si>
  <si>
    <t xml:space="preserve">Progress</t>
  </si>
  <si>
    <t xml:space="preserve">Owner</t>
  </si>
  <si>
    <t xml:space="preserve">Total tasks</t>
  </si>
  <si>
    <t xml:space="preserve">Done</t>
  </si>
  <si>
    <t xml:space="preserve">In progress</t>
  </si>
  <si>
    <t xml:space="preserve">Blocked</t>
  </si>
  <si>
    <t xml:space="preserve">Not started</t>
  </si>
  <si>
    <t xml:space="preserve">% done</t>
  </si>
  <si>
    <t xml:space="preserve">Overdue (not done, past due)</t>
  </si>
  <si>
    <t xml:space="preserve">Backend</t>
  </si>
  <si>
    <t xml:space="preserve">Frontend</t>
  </si>
  <si>
    <t xml:space="preserve">Total</t>
  </si>
  <si>
    <t xml:space="preserve">Progress by phase</t>
  </si>
  <si>
    <t xml:space="preserve">Phase</t>
  </si>
  <si>
    <t xml:space="preserve">Start</t>
  </si>
  <si>
    <t xml:space="preserve">End</t>
  </si>
  <si>
    <t xml:space="preserve">Backend % done</t>
  </si>
  <si>
    <t xml:space="preserve">Frontend % done</t>
  </si>
  <si>
    <t xml:space="preserve">Exit gates passed</t>
  </si>
  <si>
    <t xml:space="preserve">Phase 0 / F0: Foundations</t>
  </si>
  <si>
    <t xml:space="preserve">Phase 1 / F1: Identity</t>
  </si>
  <si>
    <t xml:space="preserve">Phase 2 / F2: Partners, files, compliance</t>
  </si>
  <si>
    <t xml:space="preserve">Phase 3 / F3: Catalog and pricing</t>
  </si>
  <si>
    <t xml:space="preserve">Phase 4 / F4: Sourcing</t>
  </si>
  <si>
    <t xml:space="preserve">Phase 5 / F5: Orders and payments</t>
  </si>
  <si>
    <t xml:space="preserve">Phase 6 / F6: Logistics, notifications, dashboards</t>
  </si>
  <si>
    <t xml:space="preserve">Hardening and code freeze</t>
  </si>
  <si>
    <t xml:space="preserve">Beta testing and launch</t>
  </si>
  <si>
    <t xml:space="preserve">ID</t>
  </si>
  <si>
    <t xml:space="preserve">Type</t>
  </si>
  <si>
    <t xml:space="preserve">Task</t>
  </si>
  <si>
    <t xml:space="preserve">Due</t>
  </si>
  <si>
    <t xml:space="preserve">Status</t>
  </si>
  <si>
    <t xml:space="preserve">Notes</t>
  </si>
  <si>
    <t xml:space="preserve">BE-001</t>
  </si>
  <si>
    <t xml:space="preserve">pnpm workspace + Nx; backend/apps/factorygrid-api, libs/ for auth, errors, prisma, outbox, testing</t>
  </si>
  <si>
    <t xml:space="preserve">BE-002</t>
  </si>
  <si>
    <t xml:space="preserve">API standards doc: /api/v1, ApiResponse / ErrorResponse, paging, Idempotency-Key, UTC dates, money in paise</t>
  </si>
  <si>
    <t xml:space="preserve">BE-003</t>
  </si>
  <si>
    <t xml:space="preserve">docker-compose: PostgreSQL 17, Redis, MinIO, Mailpit</t>
  </si>
  <si>
    <t xml:space="preserve">BE-004</t>
  </si>
  <si>
    <t xml:space="preserve">GitHub Actions: lint, type-check, Jest, OpenAPI lint, contract test, Docker image</t>
  </si>
  <si>
    <t xml:space="preserve">BE-005</t>
  </si>
  <si>
    <t xml:space="preserve">Staging environment with database, Redis, S3 bucket and auto-deploy from main</t>
  </si>
  <si>
    <t xml:space="preserve">BE-006</t>
  </si>
  <si>
    <t xml:space="preserve">pino logs with request ID, health endpoint, Swagger at /docs</t>
  </si>
  <si>
    <t xml:space="preserve">BE-007</t>
  </si>
  <si>
    <t xml:space="preserve">Hand-off</t>
  </si>
  <si>
    <t xml:space="preserve">Write and freeze the Identity contract</t>
  </si>
  <si>
    <t xml:space="preserve">BE-008</t>
  </si>
  <si>
    <t xml:space="preserve">Apply for Razorpay live KYC, GST/PAN provider account and email provider (SES or SendGrid)</t>
  </si>
  <si>
    <t xml:space="preserve">BE-009</t>
  </si>
  <si>
    <t xml:space="preserve">Exit gate</t>
  </si>
  <si>
    <t xml:space="preserve">hello-world module deploys to staging behind JWT auth from CI</t>
  </si>
  <si>
    <t xml:space="preserve">FE-010</t>
  </si>
  <si>
    <t xml:space="preserve">Remove VITE_RAZORPAY_KEY_SECRET and verifyRazorpaySignature from razorpayService.ts, and every provider key from VITE_ variables</t>
  </si>
  <si>
    <t xml:space="preserve">FE-011</t>
  </si>
  <si>
    <t xml:space="preserve">Move frontend/ into the pnpm workspace; import @factorygrid/contracts</t>
  </si>
  <si>
    <t xml:space="preserve">FE-012</t>
  </si>
  <si>
    <t xml:space="preserve">One HTTP layer on openapi-fetch: VITE_API_BASE_URL, bearer token, refresh on 401, request ID header, error toasts from ErrorResponse</t>
  </si>
  <si>
    <t xml:space="preserve">FE-013</t>
  </si>
  <si>
    <t xml:space="preserve">TanStack Query set up with standard loading, error and retry behaviour</t>
  </si>
  <si>
    <t xml:space="preserve">FE-014</t>
  </si>
  <si>
    <t xml:space="preserve">MSW with a per-module mock/live switch</t>
  </si>
  <si>
    <t xml:space="preserve">FE-015</t>
  </si>
  <si>
    <t xml:space="preserve">Route guards by role from /me; remove hard-coded role switching</t>
  </si>
  <si>
    <t xml:space="preserve">FE-016</t>
  </si>
  <si>
    <t xml:space="preserve">Vitest + Testing Library, Playwright, and both in CI</t>
  </si>
  <si>
    <t xml:space="preserve">FE-017</t>
  </si>
  <si>
    <t xml:space="preserve">Update vercel.json for the workspace (pnpm install --frozen-lockfile, pnpm --filter frontend build)</t>
  </si>
  <si>
    <t xml:space="preserve">FE-018</t>
  </si>
  <si>
    <t xml:space="preserve">Review the Identity contract; start login screens on mocks</t>
  </si>
  <si>
    <t xml:space="preserve">FE-019</t>
  </si>
  <si>
    <t xml:space="preserve">app builds from the workspace on Vercel, logs in against the Identity mock, no secret in bundle</t>
  </si>
  <si>
    <t xml:space="preserve">BE-020</t>
  </si>
  <si>
    <t xml:space="preserve">prisma db pull on the existing IAM schema and baseline it; keep tables and BCrypt hashes</t>
  </si>
  <si>
    <t xml:space="preserve">BE-021</t>
  </si>
  <si>
    <t xml:space="preserve">Port login, refresh, logout, me, register/buyer, register/manufacturer with the same JSON shapes</t>
  </si>
  <si>
    <t xml:space="preserve">BE-022</t>
  </si>
  <si>
    <t xml:space="preserve">Rewrite IamSecurityAndAuthTest and UserRepositoryTest as Jest + Supertest; all pass</t>
  </si>
  <si>
    <t xml:space="preserve">BE-023</t>
  </si>
  <si>
    <t xml:space="preserve">Link users to organizations; user admin APIs (invite, deactivate, assign roles)</t>
  </si>
  <si>
    <t xml:space="preserve">BE-024</t>
  </si>
  <si>
    <t xml:space="preserve">Role guard on every endpoint, with a 403 test per role</t>
  </si>
  <si>
    <t xml:space="preserve">BE-025</t>
  </si>
  <si>
    <t xml:space="preserve">TOTP 2FA server-side (move totpUtils.ts logic), password reset, email verification, login audit</t>
  </si>
  <si>
    <t xml:space="preserve">BE-026</t>
  </si>
  <si>
    <t xml:space="preserve">Notification module v1: transactional email with templates, sent as BullMQ jobs</t>
  </si>
  <si>
    <t xml:space="preserve">BE-027</t>
  </si>
  <si>
    <t xml:space="preserve">Write and freeze the Partners/files/compliance contract</t>
  </si>
  <si>
    <t xml:space="preserve">BE-028</t>
  </si>
  <si>
    <t xml:space="preserve">all 8 roles register or are invited, verify email, log in with 2FA, reset password; existing users keep passwords; Java IAM retired</t>
  </si>
  <si>
    <t xml:space="preserve">FE-029</t>
  </si>
  <si>
    <t xml:space="preserve">LoginPage, Security2FA, BuyerSecuritySettings, Settings, password reset, email verification, invite acceptance</t>
  </si>
  <si>
    <t xml:space="preserve">FE-030</t>
  </si>
  <si>
    <t xml:space="preserve">User admin screens: invite, deactivate, assign roles</t>
  </si>
  <si>
    <t xml:space="preserve">FE-031</t>
  </si>
  <si>
    <t xml:space="preserve">Remove the auth slice from AppContext</t>
  </si>
  <si>
    <t xml:space="preserve">FE-032</t>
  </si>
  <si>
    <t xml:space="preserve">Shared building blocks: server-paged data table, form field errors from the API, presigned file upload, empty/error/loading states</t>
  </si>
  <si>
    <t xml:space="preserve">FE-033</t>
  </si>
  <si>
    <t xml:space="preserve">Review the Partners/files/compliance contract</t>
  </si>
  <si>
    <t xml:space="preserve">FE-034</t>
  </si>
  <si>
    <t xml:space="preserve">login, 2FA, reset and invite work against the Node.js IAM on staging for all 8 roles</t>
  </si>
  <si>
    <t xml:space="preserve">BE-035</t>
  </si>
  <si>
    <t xml:space="preserve">Partner module: organizations, onboarding drafts per wizard step, profiles, capabilities, facilities, certifications, customer segments</t>
  </si>
  <si>
    <t xml:space="preserve">BE-036</t>
  </si>
  <si>
    <t xml:space="preserve">File module: presigned S3 uploads, document versions, expiry dates</t>
  </si>
  <si>
    <t xml:space="preserve">BE-037</t>
  </si>
  <si>
    <t xml:space="preserve">Compliance module: verification cases, GST/PAN check via one provider adapter with a fake, admin approval queue, audit log</t>
  </si>
  <si>
    <t xml:space="preserve">BE-038</t>
  </si>
  <si>
    <t xml:space="preserve">Move GST connector logic from the frontend to the backend adapter; keys server-side only</t>
  </si>
  <si>
    <t xml:space="preserve">BE-039</t>
  </si>
  <si>
    <t xml:space="preserve">Write and freeze the Catalog/pricing contract</t>
  </si>
  <si>
    <t xml:space="preserve">BE-040</t>
  </si>
  <si>
    <t xml:space="preserve">buyer and manufacturer onboard, upload documents, approved or rejected by admin, every step audited</t>
  </si>
  <si>
    <t xml:space="preserve">FE-041</t>
  </si>
  <si>
    <t xml:space="preserve">Buyer and Manufacturer onboarding wizards, saving each step as a draft</t>
  </si>
  <si>
    <t xml:space="preserve">FE-042</t>
  </si>
  <si>
    <t xml:space="preserve">Profile, ManufacturerProfilePage, Customer, CustomerSegmentMaster</t>
  </si>
  <si>
    <t xml:space="preserve">FE-043</t>
  </si>
  <si>
    <t xml:space="preserve">CustomerVerification, ManufacturerVerification, Brand and Trademark verification</t>
  </si>
  <si>
    <t xml:space="preserve">FE-044</t>
  </si>
  <si>
    <t xml:space="preserve">All Admin*Verification screens and monitors, AdminApproval, Compliance (audit log view)</t>
  </si>
  <si>
    <t xml:space="preserve">FE-045</t>
  </si>
  <si>
    <t xml:space="preserve">Delete partner and compliance mock data</t>
  </si>
  <si>
    <t xml:space="preserve">FE-046</t>
  </si>
  <si>
    <t xml:space="preserve">Review the Catalog/pricing contract</t>
  </si>
  <si>
    <t xml:space="preserve">FE-047</t>
  </si>
  <si>
    <t xml:space="preserve">buyer and manufacturer onboard with real uploads; admin approves or rejects</t>
  </si>
  <si>
    <t xml:space="preserve">BE-048</t>
  </si>
  <si>
    <t xml:space="preserve">Catalog module: products, 3-level categories, brands, attributes, UoM, tax rules, product-manufacturer mapping</t>
  </si>
  <si>
    <t xml:space="preserve">BE-049</t>
  </si>
  <si>
    <t xml:space="preserve">CSV/Excel bulk import as a BullMQ job with an error report</t>
  </si>
  <si>
    <t xml:space="preserve">BE-050</t>
  </si>
  <si>
    <t xml:space="preserve">Server-side search, filters and paging on product lists</t>
  </si>
  <si>
    <t xml:space="preserve">BE-051</t>
  </si>
  <si>
    <t xml:space="preserve">Pricing module: price lists by segment, margin rules by scope, platform fees, price calculation API; integer paise and decimal.js only</t>
  </si>
  <si>
    <t xml:space="preserve">BE-052</t>
  </si>
  <si>
    <t xml:space="preserve">Rounding unit tests on every price rule</t>
  </si>
  <si>
    <t xml:space="preserve">BE-053</t>
  </si>
  <si>
    <t xml:space="preserve">Write and freeze the Sourcing contract</t>
  </si>
  <si>
    <t xml:space="preserve">BE-054</t>
  </si>
  <si>
    <t xml:space="preserve">buyers search a catalog with live prices matching their segment's margin rules</t>
  </si>
  <si>
    <t xml:space="preserve">FE-055</t>
  </si>
  <si>
    <t xml:space="preserve">ProductCatalog, CategoryMaster, BrandMaster, AttributeMaster, ProductUom, ProductTax, ProductManufacturerMapping</t>
  </si>
  <si>
    <t xml:space="preserve">FE-056</t>
  </si>
  <si>
    <t xml:space="preserve">ProductPrice, MarginEngine; Buyer and Manufacturer product catalogs</t>
  </si>
  <si>
    <t xml:space="preserve">FE-057</t>
  </si>
  <si>
    <t xml:space="preserve">CSV/Excel import screen with job progress and error report download</t>
  </si>
  <si>
    <t xml:space="preserve">FE-058</t>
  </si>
  <si>
    <t xml:space="preserve">Server-side search, filter and paging on every catalog list</t>
  </si>
  <si>
    <t xml:space="preserve">FE-059</t>
  </si>
  <si>
    <t xml:space="preserve">Review the Sourcing contract</t>
  </si>
  <si>
    <t xml:space="preserve">FE-060</t>
  </si>
  <si>
    <t xml:space="preserve">buyers search the catalog and see prices from the pricing API for their segment</t>
  </si>
  <si>
    <t xml:space="preserve">BE-061</t>
  </si>
  <si>
    <t xml:space="preserve">RFQ create, submit and distribute to matched manufacturers (rules-based scoring endpoint)</t>
  </si>
  <si>
    <t xml:space="preserve">BE-062</t>
  </si>
  <si>
    <t xml:space="preserve">Manufacturer quotes, buyer quote comparison, customer quotation with margins applied</t>
  </si>
  <si>
    <t xml:space="preserve">BE-063</t>
  </si>
  <si>
    <t xml:space="preserve">Sales qualification and QA threads</t>
  </si>
  <si>
    <t xml:space="preserve">BE-064</t>
  </si>
  <si>
    <t xml:space="preserve">Email at each hand-off</t>
  </si>
  <si>
    <t xml:space="preserve">BE-065</t>
  </si>
  <si>
    <t xml:space="preserve">Write and freeze the Orders/payments contract</t>
  </si>
  <si>
    <t xml:space="preserve">BE-066</t>
  </si>
  <si>
    <t xml:space="preserve">RFQ goes from draft to accepted quote end to end, with emails at each step</t>
  </si>
  <si>
    <t xml:space="preserve">FE-067</t>
  </si>
  <si>
    <t xml:space="preserve">RFQ, Quote, AIMatching (rules-based scores), ManufacturerAssignedRFQs, ManufacturerQuoteSubmissions</t>
  </si>
  <si>
    <t xml:space="preserve">FE-068</t>
  </si>
  <si>
    <t xml:space="preserve">BuyerQuoteComparison, CustomerQuotation, SalesQualification</t>
  </si>
  <si>
    <t xml:space="preserve">FE-069</t>
  </si>
  <si>
    <t xml:space="preserve">BuyerQa, RaiseQaModal, AdminQaGovernance, AdminRfq and Quote monitors</t>
  </si>
  <si>
    <t xml:space="preserve">FE-070</t>
  </si>
  <si>
    <t xml:space="preserve">Review the Orders/payments contract</t>
  </si>
  <si>
    <t xml:space="preserve">FE-071</t>
  </si>
  <si>
    <t xml:space="preserve">RFQ to accepted quote passes the Playwright flow on staging</t>
  </si>
  <si>
    <t xml:space="preserve">BE-072</t>
  </si>
  <si>
    <t xml:space="preserve">Order module: master order from accepted quote, admin approval, sub-order split, production status, status history</t>
  </si>
  <si>
    <t xml:space="preserve">BE-073</t>
  </si>
  <si>
    <t xml:space="preserve">Payment module: proforma invoice, advance payment (percentage or fixed), Razorpay order created server-side</t>
  </si>
  <si>
    <t xml:space="preserve">BE-074</t>
  </si>
  <si>
    <t xml:space="preserve">Razorpay payment.captured webhook: raw-body signature check, idempotent by event ID, outbox event</t>
  </si>
  <si>
    <t xml:space="preserve">BE-075</t>
  </si>
  <si>
    <t xml:space="preserve">Tax invoice PDF (pdfmake), partial payments, refunds, overdue check as a scheduled job</t>
  </si>
  <si>
    <t xml:space="preserve">BE-076</t>
  </si>
  <si>
    <t xml:space="preserve">Write and freeze the Logistics/notifications/dashboards contract</t>
  </si>
  <si>
    <t xml:space="preserve">BE-077</t>
  </si>
  <si>
    <t xml:space="preserve">accepted quote becomes a paid, split order in Razorpay test mode; ledger totals match</t>
  </si>
  <si>
    <t xml:space="preserve">FE-078</t>
  </si>
  <si>
    <t xml:space="preserve">Order, MasterOrderSplitting, ManufacturerSubOrder, ProductionExecution</t>
  </si>
  <si>
    <t xml:space="preserve">FE-079</t>
  </si>
  <si>
    <t xml:space="preserve">BuyerOrderTracking, AdminOrderMonitor, ManufacturerOrderHistory</t>
  </si>
  <si>
    <t xml:space="preserve">FE-080</t>
  </si>
  <si>
    <t xml:space="preserve">Invoice (PDF download), BuyerAdvancePayments, Accounts</t>
  </si>
  <si>
    <t xml:space="preserve">FE-081</t>
  </si>
  <si>
    <t xml:space="preserve">razorpayService only opens Checkout with the API's order ID; payment status read from the API</t>
  </si>
  <si>
    <t xml:space="preserve">FE-082</t>
  </si>
  <si>
    <t xml:space="preserve">Review the Logistics/notifications/dashboards contract</t>
  </si>
  <si>
    <t xml:space="preserve">FE-083</t>
  </si>
  <si>
    <t xml:space="preserve">Razorpay test payment updates order status through the backend webhook</t>
  </si>
  <si>
    <t xml:space="preserve">BE-084</t>
  </si>
  <si>
    <t xml:space="preserve">Logistics module: shipment per sub-order with carrier and tracking number, status updates, delivery closes sub-order</t>
  </si>
  <si>
    <t xml:space="preserve">BE-085</t>
  </si>
  <si>
    <t xml:space="preserve">In-app notifications per user, streamed over Server-Sent Events, read/unread</t>
  </si>
  <si>
    <t xml:space="preserve">BE-086</t>
  </si>
  <si>
    <t xml:space="preserve">Dashboard module: one summary endpoint per role, CSV export of orders and invoices</t>
  </si>
  <si>
    <t xml:space="preserve">BE-087</t>
  </si>
  <si>
    <t xml:space="preserve">sub-order ships, status reaches buyer screen without reload, delivery closes it</t>
  </si>
  <si>
    <t xml:space="preserve">FE-088</t>
  </si>
  <si>
    <t xml:space="preserve">Shipment screen: carrier, tracking number, status updates, delivery confirmation</t>
  </si>
  <si>
    <t xml:space="preserve">FE-089</t>
  </si>
  <si>
    <t xml:space="preserve">Notifications bell and list over Server-Sent Events, read/unread</t>
  </si>
  <si>
    <t xml:space="preserve">FE-090</t>
  </si>
  <si>
    <t xml:space="preserve">Dashboards per role and ManufacturerDashboard on the summary API; CSV export buttons</t>
  </si>
  <si>
    <t xml:space="preserve">FE-091</t>
  </si>
  <si>
    <t xml:space="preserve">Hide or mark Coming soon: FactoryBuddyCommunicationDesk, IntegrationsSettings, advanced Analytics and Reports</t>
  </si>
  <si>
    <t xml:space="preserve">FE-092</t>
  </si>
  <si>
    <t xml:space="preserve">shipment status change shows on buyer screen without reload; dashboards show live numbers</t>
  </si>
  <si>
    <t xml:space="preserve">BE-093</t>
  </si>
  <si>
    <t xml:space="preserve">Security pass: OWASP ASVS level 2 checklist on auth, uploads, payments; pnpm audit clean</t>
  </si>
  <si>
    <t xml:space="preserve">BE-094</t>
  </si>
  <si>
    <t xml:space="preserve">k6 smoke test on login, catalog search, RFQ and payment paths</t>
  </si>
  <si>
    <t xml:space="preserve">BE-095</t>
  </si>
  <si>
    <t xml:space="preserve">Production environment, secrets in a secret manager, Razorpay live keys loaded but off</t>
  </si>
  <si>
    <t xml:space="preserve">BE-096</t>
  </si>
  <si>
    <t xml:space="preserve">Daily database backup and one restore drill</t>
  </si>
  <si>
    <t xml:space="preserve">BE-097</t>
  </si>
  <si>
    <t xml:space="preserve">Seed data and beta tester accounts</t>
  </si>
  <si>
    <t xml:space="preserve">BE-098</t>
  </si>
  <si>
    <t xml:space="preserve">Code freeze (end of day)</t>
  </si>
  <si>
    <t xml:space="preserve">FE-099</t>
  </si>
  <si>
    <t xml:space="preserve">Delete mockData.ts and the data parts of AppContext</t>
  </si>
  <si>
    <t xml:space="preserve">FE-100</t>
  </si>
  <si>
    <t xml:space="preserve">Full Playwright regression of all exit-gate flows against staging</t>
  </si>
  <si>
    <t xml:space="preserve">FE-101</t>
  </si>
  <si>
    <t xml:space="preserve">Check Chrome, Edge, Safari and phone-width layout on main buyer and manufacturer screens</t>
  </si>
  <si>
    <t xml:space="preserve">FE-102</t>
  </si>
  <si>
    <t xml:space="preserve">Route-level code splitting; Sentry error tracking on</t>
  </si>
  <si>
    <t xml:space="preserve">FE-103</t>
  </si>
  <si>
    <t xml:space="preserve">Production Vercel environment pointing at the production API</t>
  </si>
  <si>
    <t xml:space="preserve">FE-104</t>
  </si>
  <si>
    <t xml:space="preserve">BE-105</t>
  </si>
  <si>
    <t xml:space="preserve">Seed catalog, categories, price lists and pilot accounts</t>
  </si>
  <si>
    <t xml:space="preserve">BE-106</t>
  </si>
  <si>
    <t xml:space="preserve">Watch error logs and the BullMQ failed-job queue every morning</t>
  </si>
  <si>
    <t xml:space="preserve">BE-107</t>
  </si>
  <si>
    <t xml:space="preserve">Reproduce each backend bug as a failing test before fixing it</t>
  </si>
  <si>
    <t xml:space="preserve">BE-108</t>
  </si>
  <si>
    <t xml:space="preserve">Run a Razorpay test payment and refund end to end every beta day</t>
  </si>
  <si>
    <t xml:space="preserve">BE-109</t>
  </si>
  <si>
    <t xml:space="preserve">Before go-live: switch to Razorpay live keys, clear test data, take a backup</t>
  </si>
  <si>
    <t xml:space="preserve">BE-110</t>
  </si>
  <si>
    <t xml:space="preserve">Handover pack: OpenAPI specs, env and secrets list, deploy/rollback runbook, backup/restore runbook, provider accounts, known issues</t>
  </si>
  <si>
    <t xml:space="preserve">FE-111</t>
  </si>
  <si>
    <t xml:space="preserve">Tester guide per role and in-app Report a problem link</t>
  </si>
  <si>
    <t xml:space="preserve">FE-112</t>
  </si>
  <si>
    <t xml:space="preserve">Triage each bug report (frontend, backend or contract) and tag the owner the same morning</t>
  </si>
  <si>
    <t xml:space="preserve">FE-113</t>
  </si>
  <si>
    <t xml:space="preserve">Watch Sentry errors every morning</t>
  </si>
  <si>
    <t xml:space="preserve">FE-114</t>
  </si>
  <si>
    <t xml:space="preserve">Rerun the Playwright regression on every beta deploy</t>
  </si>
  <si>
    <t xml:space="preserve">FE-115</t>
  </si>
  <si>
    <t xml:space="preserve">Before go-live: Vercel production on production API, no mock switch on, bundle checked for secrets</t>
  </si>
  <si>
    <t xml:space="preserve">FE-116</t>
  </si>
  <si>
    <t xml:space="preserve">Handover pack: build/deploy steps, env variables, screen-to-API map, Playwright guide, known issues</t>
  </si>
  <si>
    <t xml:space="preserve">Contract frozen (mocks start)</t>
  </si>
  <si>
    <t xml:space="preserve">Live on staging</t>
  </si>
  <si>
    <t xml:space="preserve">Integration day</t>
  </si>
  <si>
    <t xml:space="preserve">Days of mock-only build</t>
  </si>
  <si>
    <t xml:space="preserve">Contract status</t>
  </si>
  <si>
    <t xml:space="preserve">Staging status</t>
  </si>
  <si>
    <t xml:space="preserve">Integration status</t>
  </si>
  <si>
    <t xml:space="preserve">1 Identity</t>
  </si>
  <si>
    <t xml:space="preserve">2 Partners, files, compliance</t>
  </si>
  <si>
    <t xml:space="preserve">3 Catalog and pricing</t>
  </si>
  <si>
    <t xml:space="preserve">4 Sourcing (RFQ to quote)</t>
  </si>
  <si>
    <t xml:space="preserve">5 Orders and payments</t>
  </si>
  <si>
    <t xml:space="preserve">6 Logistics, notifications, dashboards</t>
  </si>
  <si>
    <t xml:space="preserve">Rules: backend writes contracts/&lt;module&gt;.yaml; frontend reviews within 1 working day; frozen when both approve. Breaking change after freeze needs both sign-offs. Integration day = frontend switches the phase from mock to staging and both run the exit-gate flow.</t>
  </si>
  <si>
    <t xml:space="preserve">Date</t>
  </si>
  <si>
    <t xml:space="preserve">Milestone</t>
  </si>
  <si>
    <t xml:space="preserve">Both</t>
  </si>
  <si>
    <t xml:space="preserve">Beta opens: pilot accounts get invites</t>
  </si>
  <si>
    <t xml:space="preserve">Round 1 starts: testers run the full flow; daily triage at 10:00; fixes deploy daily (to 21 Jan)</t>
  </si>
  <si>
    <t xml:space="preserve">Round 2 build: all P0 and P1 bugs from round 1 fixed</t>
  </si>
  <si>
    <t xml:space="preserve">Release candidate; only P0 fixes after this</t>
  </si>
  <si>
    <t xml:space="preserve">Republic Day, off</t>
  </si>
  <si>
    <t xml:space="preserve">-</t>
  </si>
  <si>
    <t xml:space="preserve">Go/no-go with the product owner</t>
  </si>
  <si>
    <t xml:space="preserve">Production go-live: Razorpay live keys on, test data cleared</t>
  </si>
  <si>
    <t xml:space="preserve">Hypercare: watch logs and fix live issues</t>
  </si>
  <si>
    <t xml:space="preserve">Final delivery: handover and sign-off</t>
  </si>
  <si>
    <t xml:space="preserve">Bug severity</t>
  </si>
  <si>
    <t xml:space="preserve">Severity</t>
  </si>
  <si>
    <t xml:space="preserve">Meaning</t>
  </si>
  <si>
    <t xml:space="preserve">Fix by</t>
  </si>
  <si>
    <t xml:space="preserve">P0</t>
  </si>
  <si>
    <t xml:space="preserve">Flow blocked, wrong money, data leak, security hole</t>
  </si>
  <si>
    <t xml:space="preserve">Same day</t>
  </si>
  <si>
    <t xml:space="preserve">P1</t>
  </si>
  <si>
    <t xml:space="preserve">Major feature broken, no workaround</t>
  </si>
  <si>
    <t xml:space="preserve">Within 2 working days</t>
  </si>
  <si>
    <t xml:space="preserve">P2</t>
  </si>
  <si>
    <t xml:space="preserve">Works with a workaround, visual issues</t>
  </si>
  <si>
    <t xml:space="preserve">Before go-live if time allows</t>
  </si>
  <si>
    <t xml:space="preserve">P3</t>
  </si>
  <si>
    <t xml:space="preserve">Cosmetic or wish list</t>
  </si>
  <si>
    <t xml:space="preserve">Post-launch backlog</t>
  </si>
  <si>
    <t xml:space="preserve">Area</t>
  </si>
  <si>
    <t xml:space="preserve">In beta (30 Jan 2027)</t>
  </si>
  <si>
    <t xml:space="preserve">After launch (Feb-Apr 2027)</t>
  </si>
  <si>
    <t xml:space="preserve">Identity</t>
  </si>
  <si>
    <t xml:space="preserve">IAM ported to Node.js, 8 roles, invites, TOTP 2FA, password reset, email verification</t>
  </si>
  <si>
    <t xml:space="preserve">Per-device sessions for mobile</t>
  </si>
  <si>
    <t xml:space="preserve">Partners and compliance</t>
  </si>
  <si>
    <t xml:space="preserve">Onboarding wizard, profiles, document uploads, GST/PAN check via one provider, manual admin approval, audit log</t>
  </si>
  <si>
    <t xml:space="preserve">AI document review, MCA checks, virus scan upgrade</t>
  </si>
  <si>
    <t xml:space="preserve">Catalog and pricing</t>
  </si>
  <si>
    <t xml:space="preserve">Products, 3-level categories, brands, attributes, UoM, tax, CSV import, price lists, margin rules, platform fees</t>
  </si>
  <si>
    <t xml:space="preserve">Provider data feeds</t>
  </si>
  <si>
    <t xml:space="preserve">Sourcing</t>
  </si>
  <si>
    <t xml:space="preserve">RFQ to accepted quote, rules-based manufacturer matching, quote comparison, customer quotation, QA threads</t>
  </si>
  <si>
    <t xml:space="preserve">AI matching model</t>
  </si>
  <si>
    <t xml:space="preserve">Orders and payments</t>
  </si>
  <si>
    <t xml:space="preserve">Master order, admin approval, sub-order split, production status, proforma and tax invoices (PDF), Razorpay advance and invoice payments, refunds</t>
  </si>
  <si>
    <t xml:space="preserve">Daily reconciliation dashboard</t>
  </si>
  <si>
    <t xml:space="preserve">Logistics</t>
  </si>
  <si>
    <t xml:space="preserve">Shipment created by hand with carrier name and tracking number, status updates, delivery confirmation</t>
  </si>
  <si>
    <t xml:space="preserve">Blue Dart and Delhivery APIs, temperature logs</t>
  </si>
  <si>
    <t xml:space="preserve">Notifications</t>
  </si>
  <si>
    <t xml:space="preserve">Email at each hand-off, in-app notifications over Server-Sent Events</t>
  </si>
  <si>
    <t xml:space="preserve">SMS, WhatsApp, push, Factory Buddy conversations</t>
  </si>
  <si>
    <t xml:space="preserve">Reporting</t>
  </si>
  <si>
    <t xml:space="preserve">One summary dashboard per role, CSV export of orders and invoices</t>
  </si>
  <si>
    <t xml:space="preserve">reporting-service, read models, PDF exports</t>
  </si>
  <si>
    <t xml:space="preserve">Platform</t>
  </si>
  <si>
    <t xml:space="preserve">One NestJS app with module boundaries, BullMQ jobs, staging and production</t>
  </si>
  <si>
    <t xml:space="preserve">Kong gateway, RabbitMQ, split into services</t>
  </si>
  <si>
    <t xml:space="preserve">Mobile</t>
  </si>
  <si>
    <t xml:space="preserve">None</t>
  </si>
  <si>
    <t xml:space="preserve">Buyer and Partner apps (master plan M0-M3)</t>
  </si>
  <si>
    <t xml:space="preserve">Track</t>
  </si>
  <si>
    <t xml:space="preserve">Risk</t>
  </si>
  <si>
    <t xml:space="preserve">Effect</t>
  </si>
  <si>
    <t xml:space="preserve">Mitigation</t>
  </si>
  <si>
    <t xml:space="preserve">One backend developer is a single point of failure</t>
  </si>
  <si>
    <t xml:space="preserve">Any sick week slips beta</t>
  </si>
  <si>
    <t xml:space="preserve">Contract-first specs and tests document the work; Phase 6 and dashboards are first to trim</t>
  </si>
  <si>
    <t xml:space="preserve">Phase 5 lands over Christmas and New Year</t>
  </si>
  <si>
    <t xml:space="preserve">Orders and payments run late</t>
  </si>
  <si>
    <t xml:space="preserve">Contract frozen 16 Dec so frontend builds on mocks before the break; refunds and overdue jobs last</t>
  </si>
  <si>
    <t xml:space="preserve">Razorpay live KYC, GST provider and email provider take weeks</t>
  </si>
  <si>
    <t xml:space="preserve">Go-live blocked on paperwork</t>
  </si>
  <si>
    <t xml:space="preserve">Apply in Phase 0; build against sandboxes and fakes</t>
  </si>
  <si>
    <t xml:space="preserve">IAM port changes behaviour</t>
  </si>
  <si>
    <t xml:space="preserve">Existing users cannot log in</t>
  </si>
  <si>
    <t xml:space="preserve">Same schema and shapes first; Java tests are the acceptance suite</t>
  </si>
  <si>
    <t xml:space="preserve">Late contract changes</t>
  </si>
  <si>
    <t xml:space="preserve">Frontend rework</t>
  </si>
  <si>
    <t xml:space="preserve">Freeze dates; breaking changes need both developers' sign-off</t>
  </si>
  <si>
    <t xml:space="preserve">Money maths with JavaScript floats</t>
  </si>
  <si>
    <t xml:space="preserve">Wrong invoice totals</t>
  </si>
  <si>
    <t xml:space="preserve">Integer paise, decimal.js, rounding tests</t>
  </si>
  <si>
    <t xml:space="preserve">72 screens for one developer</t>
  </si>
  <si>
    <t xml:space="preserve">F2 and F5 run long</t>
  </si>
  <si>
    <t xml:space="preserve">Split big modules only while touching them; hide out-of-scope screens</t>
  </si>
  <si>
    <t xml:space="preserve">AppContext (5,507 lines) and mockData.ts (7,132 lines) are tangled</t>
  </si>
  <si>
    <t xml:space="preserve">Removing one slice breaks other screens</t>
  </si>
  <si>
    <t xml:space="preserve">One domain per phase; delete its slice only after its Playwright flow passes</t>
  </si>
  <si>
    <t xml:space="preserve">Mocks drift from the real API</t>
  </si>
  <si>
    <t xml:space="preserve">Surprises on integration day</t>
  </si>
  <si>
    <t xml:space="preserve">Generate MSW handlers from the frozen spec, never by hand</t>
  </si>
  <si>
    <t xml:space="preserve">Backend slips a staging date</t>
  </si>
  <si>
    <t xml:space="preserve">Frontend cannot finish its exit gate</t>
  </si>
  <si>
    <t xml:space="preserve">Keep building the next phase on mocks; integrate when staging is up</t>
  </si>
  <si>
    <t xml:space="preserve">Secrets in the browser bundle today</t>
  </si>
  <si>
    <t xml:space="preserve">Razorpay secret exposed</t>
  </si>
  <si>
    <t xml:space="preserve">Removed on day 1 of F0</t>
  </si>
  <si>
    <t xml:space="preserve">Question</t>
  </si>
  <si>
    <t xml:space="preserve">Decision</t>
  </si>
  <si>
    <t xml:space="preserve">Product owner</t>
  </si>
  <si>
    <t xml:space="preserve">Confirm the beta scope cuts on the Scope sheet</t>
  </si>
  <si>
    <t xml:space="preserve">Open</t>
  </si>
  <si>
    <t xml:space="preserve">How many pilot buyers and manufacturers, and who recruits them by 8 Jan</t>
  </si>
  <si>
    <t xml:space="preserve">Hosting for the API: managed containers (AWS ECS, Render) or a VM</t>
  </si>
  <si>
    <t xml:space="preserve">Email provider and GST/PAN verification provider</t>
  </si>
  <si>
    <t xml:space="preserve">Is a third developer or QA available in December if Phase 4 or 5 slips</t>
  </si>
  <si>
    <t xml:space="preserve">Which out-of-scope screens are hidden and which show Coming soon</t>
  </si>
  <si>
    <t xml:space="preserve">Bug tracker for beta testers (GitHub Issues, Jira or a form)</t>
  </si>
  <si>
    <t xml:space="preserve">Browsers and minimum screen width to support at launch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</si>
</sst>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d\ dd\-mmm\-yyyy"/>
    <numFmt numFmtId="166" formatCode="0&quot; days&quot;;&quot;passed&quot;;&quot;today&quot;"/>
    <numFmt numFmtId="167" formatCode="0%"/>
    <numFmt numFmtId="168" formatCode="dd\-mmm\-yy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0"/>
      <name val="Arial"/>
      <family val="0"/>
      <charset val="1"/>
    </font>
    <font>
      <sz val="10"/>
      <color rgb="FF7F600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EB9C"/>
      </patternFill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6" min="3" style="0" width="14"/>
    <col collapsed="false" customWidth="true" hidden="false" outlineLevel="0" max="7" min="7" style="0" width="10"/>
    <col collapsed="false" customWidth="true" hidden="false" outlineLevel="0" max="8" min="8" style="0" width="18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C5" s="5" t="s">
        <v>4</v>
      </c>
    </row>
    <row r="6" customFormat="false" ht="15" hidden="false" customHeight="false" outlineLevel="0" collapsed="false">
      <c r="A6" s="6" t="s">
        <v>5</v>
      </c>
      <c r="B6" s="7" t="n">
        <v>46307</v>
      </c>
      <c r="C6" s="8" t="n">
        <f aca="true">B6-TODAY()</f>
        <v>2</v>
      </c>
    </row>
    <row r="7" customFormat="false" ht="15" hidden="false" customHeight="false" outlineLevel="0" collapsed="false">
      <c r="A7" s="6" t="s">
        <v>6</v>
      </c>
      <c r="B7" s="7" t="n">
        <v>46401</v>
      </c>
      <c r="C7" s="8" t="n">
        <f aca="true">B7-TODAY()</f>
        <v>96</v>
      </c>
    </row>
    <row r="8" customFormat="false" ht="15" hidden="false" customHeight="false" outlineLevel="0" collapsed="false">
      <c r="A8" s="6" t="s">
        <v>7</v>
      </c>
      <c r="B8" s="7" t="n">
        <v>46402</v>
      </c>
      <c r="C8" s="8" t="n">
        <f aca="true">B8-TODAY()</f>
        <v>97</v>
      </c>
    </row>
    <row r="9" customFormat="false" ht="15" hidden="false" customHeight="false" outlineLevel="0" collapsed="false">
      <c r="A9" s="6" t="s">
        <v>8</v>
      </c>
      <c r="B9" s="7" t="n">
        <v>46414</v>
      </c>
      <c r="C9" s="8" t="n">
        <f aca="true">B9-TODAY()</f>
        <v>109</v>
      </c>
    </row>
    <row r="10" customFormat="false" ht="15" hidden="false" customHeight="false" outlineLevel="0" collapsed="false">
      <c r="A10" s="6" t="s">
        <v>9</v>
      </c>
      <c r="B10" s="7" t="n">
        <v>46415</v>
      </c>
      <c r="C10" s="8" t="n">
        <f aca="true">B10-TODAY()</f>
        <v>110</v>
      </c>
    </row>
    <row r="11" customFormat="false" ht="15" hidden="false" customHeight="false" outlineLevel="0" collapsed="false">
      <c r="A11" s="6" t="s">
        <v>10</v>
      </c>
      <c r="B11" s="7" t="n">
        <v>46417</v>
      </c>
      <c r="C11" s="8" t="n">
        <f aca="true">B11-TODAY()</f>
        <v>112</v>
      </c>
    </row>
    <row r="13" customFormat="false" ht="15" hidden="false" customHeight="false" outlineLevel="0" collapsed="false">
      <c r="A13" s="4" t="s">
        <v>11</v>
      </c>
    </row>
    <row r="14" customFormat="false" ht="30" hidden="false" customHeight="true" outlineLevel="0" collapsed="false">
      <c r="A14" s="9" t="s">
        <v>12</v>
      </c>
      <c r="B14" s="9" t="s">
        <v>13</v>
      </c>
      <c r="C14" s="9" t="s">
        <v>14</v>
      </c>
      <c r="D14" s="9" t="s">
        <v>15</v>
      </c>
      <c r="E14" s="9" t="s">
        <v>16</v>
      </c>
      <c r="F14" s="9" t="s">
        <v>17</v>
      </c>
      <c r="G14" s="9" t="s">
        <v>18</v>
      </c>
      <c r="H14" s="9" t="s">
        <v>19</v>
      </c>
    </row>
    <row r="15" customFormat="false" ht="15" hidden="false" customHeight="false" outlineLevel="0" collapsed="false">
      <c r="A15" s="10" t="s">
        <v>20</v>
      </c>
      <c r="B15" s="10" t="n">
        <f aca="false">COUNTIF(Tasks!$C$2:$C$117,A15)</f>
        <v>59</v>
      </c>
      <c r="C15" s="10" t="n">
        <f aca="false">COUNTIFS(Tasks!$C$2:$C$117,$A15,Tasks!$H$2:$H$117,"Done")</f>
        <v>0</v>
      </c>
      <c r="D15" s="10" t="n">
        <f aca="false">COUNTIFS(Tasks!$C$2:$C$117,$A15,Tasks!$H$2:$H$117,"In progress")</f>
        <v>0</v>
      </c>
      <c r="E15" s="10" t="n">
        <f aca="false">COUNTIFS(Tasks!$C$2:$C$117,$A15,Tasks!$H$2:$H$117,"Blocked")</f>
        <v>0</v>
      </c>
      <c r="F15" s="10" t="n">
        <f aca="false">COUNTIFS(Tasks!$C$2:$C$117,$A15,Tasks!$H$2:$H$117,"Not started")</f>
        <v>59</v>
      </c>
      <c r="G15" s="11" t="n">
        <f aca="false">IF(B15=0,0,C15/B15)</f>
        <v>0</v>
      </c>
      <c r="H15" s="10" t="n">
        <f aca="true">COUNTIFS(Tasks!$C$2:$C$117,$A15,Tasks!$H$2:$H$117,"&lt;&gt;Done",Tasks!$G$2:$G$117,"&lt;"&amp;TODAY())</f>
        <v>0</v>
      </c>
    </row>
    <row r="16" customFormat="false" ht="15" hidden="false" customHeight="false" outlineLevel="0" collapsed="false">
      <c r="A16" s="10" t="s">
        <v>21</v>
      </c>
      <c r="B16" s="10" t="n">
        <f aca="false">COUNTIF(Tasks!$C$2:$C$117,A16)</f>
        <v>57</v>
      </c>
      <c r="C16" s="10" t="n">
        <f aca="false">COUNTIFS(Tasks!$C$2:$C$117,$A16,Tasks!$H$2:$H$117,"Done")</f>
        <v>0</v>
      </c>
      <c r="D16" s="10" t="n">
        <f aca="false">COUNTIFS(Tasks!$C$2:$C$117,$A16,Tasks!$H$2:$H$117,"In progress")</f>
        <v>0</v>
      </c>
      <c r="E16" s="10" t="n">
        <f aca="false">COUNTIFS(Tasks!$C$2:$C$117,$A16,Tasks!$H$2:$H$117,"Blocked")</f>
        <v>0</v>
      </c>
      <c r="F16" s="10" t="n">
        <f aca="false">COUNTIFS(Tasks!$C$2:$C$117,$A16,Tasks!$H$2:$H$117,"Not started")</f>
        <v>57</v>
      </c>
      <c r="G16" s="11" t="n">
        <f aca="false">IF(B16=0,0,C16/B16)</f>
        <v>0</v>
      </c>
      <c r="H16" s="10" t="n">
        <f aca="true">COUNTIFS(Tasks!$C$2:$C$117,$A16,Tasks!$H$2:$H$117,"&lt;&gt;Done",Tasks!$G$2:$G$117,"&lt;"&amp;TODAY())</f>
        <v>0</v>
      </c>
    </row>
    <row r="17" customFormat="false" ht="15" hidden="false" customHeight="false" outlineLevel="0" collapsed="false">
      <c r="A17" s="12" t="s">
        <v>22</v>
      </c>
      <c r="B17" s="12" t="n">
        <f aca="false">SUM(B15:B16)</f>
        <v>116</v>
      </c>
      <c r="C17" s="12" t="n">
        <f aca="false">SUM(C15:C16)</f>
        <v>0</v>
      </c>
      <c r="D17" s="12" t="n">
        <f aca="false">SUM(D15:D16)</f>
        <v>0</v>
      </c>
      <c r="E17" s="12" t="n">
        <f aca="false">SUM(E15:E16)</f>
        <v>0</v>
      </c>
      <c r="F17" s="12" t="n">
        <f aca="false">SUM(F15:F16)</f>
        <v>116</v>
      </c>
      <c r="G17" s="13" t="n">
        <f aca="false">IF(B17=0,0,C17/B17)</f>
        <v>0</v>
      </c>
      <c r="H17" s="12" t="n">
        <f aca="false">SUM(H15:H16)</f>
        <v>0</v>
      </c>
    </row>
    <row r="19" customFormat="false" ht="15" hidden="false" customHeight="false" outlineLevel="0" collapsed="false">
      <c r="A19" s="4" t="s">
        <v>23</v>
      </c>
    </row>
    <row r="20" customFormat="false" ht="26.85" hidden="false" customHeight="false" outlineLevel="0" collapsed="false">
      <c r="A20" s="14" t="s">
        <v>24</v>
      </c>
      <c r="B20" s="14" t="s">
        <v>25</v>
      </c>
      <c r="C20" s="14" t="s">
        <v>26</v>
      </c>
      <c r="D20" s="14" t="s">
        <v>27</v>
      </c>
      <c r="E20" s="14" t="s">
        <v>28</v>
      </c>
      <c r="F20" s="14" t="s">
        <v>29</v>
      </c>
    </row>
    <row r="21" customFormat="false" ht="15" hidden="false" customHeight="false" outlineLevel="0" collapsed="false">
      <c r="A21" s="10" t="s">
        <v>30</v>
      </c>
      <c r="B21" s="15" t="n">
        <v>46307</v>
      </c>
      <c r="C21" s="15" t="n">
        <v>46311</v>
      </c>
      <c r="D21" s="11" t="n">
        <f aca="false">IF(COUNTIFS(Tasks!$B$2:$B$117,$A21,Tasks!$C$2:$C$117,"Backend")=0,0,COUNTIFS(Tasks!$B$2:$B$117,$A21,Tasks!$C$2:$C$117,"Backend",Tasks!$H$2:$H$117,"Done")/COUNTIFS(Tasks!$B$2:$B$117,$A21,Tasks!$C$2:$C$117,"Backend"))</f>
        <v>0</v>
      </c>
      <c r="E21" s="11" t="n">
        <f aca="false">IF(COUNTIFS(Tasks!$B$2:$B$117,$A21,Tasks!$C$2:$C$117,"Frontend")=0,0,COUNTIFS(Tasks!$B$2:$B$117,$A21,Tasks!$C$2:$C$117,"Frontend",Tasks!$H$2:$H$117,"Done")/COUNTIFS(Tasks!$B$2:$B$117,$A21,Tasks!$C$2:$C$117,"Frontend"))</f>
        <v>0</v>
      </c>
      <c r="F21" s="10" t="str">
        <f aca="false">COUNTIFS(Tasks!$B$2:$B$117,$A21,Tasks!$D$2:$D$117,"Exit gate",Tasks!$H$2:$H$117,"Done")&amp;" of "&amp;COUNTIFS(Tasks!$B$2:$B$117,$A21,Tasks!$D$2:$D$117,"Exit gate")</f>
        <v>0 of 2</v>
      </c>
    </row>
    <row r="22" customFormat="false" ht="15" hidden="false" customHeight="false" outlineLevel="0" collapsed="false">
      <c r="A22" s="10" t="s">
        <v>31</v>
      </c>
      <c r="B22" s="15" t="n">
        <v>46314</v>
      </c>
      <c r="C22" s="15" t="n">
        <v>46325</v>
      </c>
      <c r="D22" s="11" t="n">
        <f aca="false">IF(COUNTIFS(Tasks!$B$2:$B$117,$A22,Tasks!$C$2:$C$117,"Backend")=0,0,COUNTIFS(Tasks!$B$2:$B$117,$A22,Tasks!$C$2:$C$117,"Backend",Tasks!$H$2:$H$117,"Done")/COUNTIFS(Tasks!$B$2:$B$117,$A22,Tasks!$C$2:$C$117,"Backend"))</f>
        <v>0</v>
      </c>
      <c r="E22" s="11" t="n">
        <f aca="false">IF(COUNTIFS(Tasks!$B$2:$B$117,$A22,Tasks!$C$2:$C$117,"Frontend")=0,0,COUNTIFS(Tasks!$B$2:$B$117,$A22,Tasks!$C$2:$C$117,"Frontend",Tasks!$H$2:$H$117,"Done")/COUNTIFS(Tasks!$B$2:$B$117,$A22,Tasks!$C$2:$C$117,"Frontend"))</f>
        <v>0</v>
      </c>
      <c r="F22" s="10" t="str">
        <f aca="false">COUNTIFS(Tasks!$B$2:$B$117,$A22,Tasks!$D$2:$D$117,"Exit gate",Tasks!$H$2:$H$117,"Done")&amp;" of "&amp;COUNTIFS(Tasks!$B$2:$B$117,$A22,Tasks!$D$2:$D$117,"Exit gate")</f>
        <v>0 of 2</v>
      </c>
    </row>
    <row r="23" customFormat="false" ht="15" hidden="false" customHeight="false" outlineLevel="0" collapsed="false">
      <c r="A23" s="10" t="s">
        <v>32</v>
      </c>
      <c r="B23" s="15" t="n">
        <v>46328</v>
      </c>
      <c r="C23" s="15" t="n">
        <v>46346</v>
      </c>
      <c r="D23" s="11" t="n">
        <f aca="false">IF(COUNTIFS(Tasks!$B$2:$B$117,$A23,Tasks!$C$2:$C$117,"Backend")=0,0,COUNTIFS(Tasks!$B$2:$B$117,$A23,Tasks!$C$2:$C$117,"Backend",Tasks!$H$2:$H$117,"Done")/COUNTIFS(Tasks!$B$2:$B$117,$A23,Tasks!$C$2:$C$117,"Backend"))</f>
        <v>0</v>
      </c>
      <c r="E23" s="11" t="n">
        <f aca="false">IF(COUNTIFS(Tasks!$B$2:$B$117,$A23,Tasks!$C$2:$C$117,"Frontend")=0,0,COUNTIFS(Tasks!$B$2:$B$117,$A23,Tasks!$C$2:$C$117,"Frontend",Tasks!$H$2:$H$117,"Done")/COUNTIFS(Tasks!$B$2:$B$117,$A23,Tasks!$C$2:$C$117,"Frontend"))</f>
        <v>0</v>
      </c>
      <c r="F23" s="10" t="str">
        <f aca="false">COUNTIFS(Tasks!$B$2:$B$117,$A23,Tasks!$D$2:$D$117,"Exit gate",Tasks!$H$2:$H$117,"Done")&amp;" of "&amp;COUNTIFS(Tasks!$B$2:$B$117,$A23,Tasks!$D$2:$D$117,"Exit gate")</f>
        <v>0 of 2</v>
      </c>
    </row>
    <row r="24" customFormat="false" ht="15" hidden="false" customHeight="false" outlineLevel="0" collapsed="false">
      <c r="A24" s="10" t="s">
        <v>33</v>
      </c>
      <c r="B24" s="15" t="n">
        <v>46349</v>
      </c>
      <c r="C24" s="15" t="n">
        <v>46360</v>
      </c>
      <c r="D24" s="11" t="n">
        <f aca="false">IF(COUNTIFS(Tasks!$B$2:$B$117,$A24,Tasks!$C$2:$C$117,"Backend")=0,0,COUNTIFS(Tasks!$B$2:$B$117,$A24,Tasks!$C$2:$C$117,"Backend",Tasks!$H$2:$H$117,"Done")/COUNTIFS(Tasks!$B$2:$B$117,$A24,Tasks!$C$2:$C$117,"Backend"))</f>
        <v>0</v>
      </c>
      <c r="E24" s="11" t="n">
        <f aca="false">IF(COUNTIFS(Tasks!$B$2:$B$117,$A24,Tasks!$C$2:$C$117,"Frontend")=0,0,COUNTIFS(Tasks!$B$2:$B$117,$A24,Tasks!$C$2:$C$117,"Frontend",Tasks!$H$2:$H$117,"Done")/COUNTIFS(Tasks!$B$2:$B$117,$A24,Tasks!$C$2:$C$117,"Frontend"))</f>
        <v>0</v>
      </c>
      <c r="F24" s="10" t="str">
        <f aca="false">COUNTIFS(Tasks!$B$2:$B$117,$A24,Tasks!$D$2:$D$117,"Exit gate",Tasks!$H$2:$H$117,"Done")&amp;" of "&amp;COUNTIFS(Tasks!$B$2:$B$117,$A24,Tasks!$D$2:$D$117,"Exit gate")</f>
        <v>0 of 2</v>
      </c>
    </row>
    <row r="25" customFormat="false" ht="15" hidden="false" customHeight="false" outlineLevel="0" collapsed="false">
      <c r="A25" s="10" t="s">
        <v>34</v>
      </c>
      <c r="B25" s="15" t="n">
        <v>46363</v>
      </c>
      <c r="C25" s="15" t="n">
        <v>46374</v>
      </c>
      <c r="D25" s="11" t="n">
        <f aca="false">IF(COUNTIFS(Tasks!$B$2:$B$117,$A25,Tasks!$C$2:$C$117,"Backend")=0,0,COUNTIFS(Tasks!$B$2:$B$117,$A25,Tasks!$C$2:$C$117,"Backend",Tasks!$H$2:$H$117,"Done")/COUNTIFS(Tasks!$B$2:$B$117,$A25,Tasks!$C$2:$C$117,"Backend"))</f>
        <v>0</v>
      </c>
      <c r="E25" s="11" t="n">
        <f aca="false">IF(COUNTIFS(Tasks!$B$2:$B$117,$A25,Tasks!$C$2:$C$117,"Frontend")=0,0,COUNTIFS(Tasks!$B$2:$B$117,$A25,Tasks!$C$2:$C$117,"Frontend",Tasks!$H$2:$H$117,"Done")/COUNTIFS(Tasks!$B$2:$B$117,$A25,Tasks!$C$2:$C$117,"Frontend"))</f>
        <v>0</v>
      </c>
      <c r="F25" s="10" t="str">
        <f aca="false">COUNTIFS(Tasks!$B$2:$B$117,$A25,Tasks!$D$2:$D$117,"Exit gate",Tasks!$H$2:$H$117,"Done")&amp;" of "&amp;COUNTIFS(Tasks!$B$2:$B$117,$A25,Tasks!$D$2:$D$117,"Exit gate")</f>
        <v>0 of 2</v>
      </c>
    </row>
    <row r="26" customFormat="false" ht="15" hidden="false" customHeight="false" outlineLevel="0" collapsed="false">
      <c r="A26" s="10" t="s">
        <v>35</v>
      </c>
      <c r="B26" s="15" t="n">
        <v>46377</v>
      </c>
      <c r="C26" s="15" t="n">
        <v>46392</v>
      </c>
      <c r="D26" s="11" t="n">
        <f aca="false">IF(COUNTIFS(Tasks!$B$2:$B$117,$A26,Tasks!$C$2:$C$117,"Backend")=0,0,COUNTIFS(Tasks!$B$2:$B$117,$A26,Tasks!$C$2:$C$117,"Backend",Tasks!$H$2:$H$117,"Done")/COUNTIFS(Tasks!$B$2:$B$117,$A26,Tasks!$C$2:$C$117,"Backend"))</f>
        <v>0</v>
      </c>
      <c r="E26" s="11" t="n">
        <f aca="false">IF(COUNTIFS(Tasks!$B$2:$B$117,$A26,Tasks!$C$2:$C$117,"Frontend")=0,0,COUNTIFS(Tasks!$B$2:$B$117,$A26,Tasks!$C$2:$C$117,"Frontend",Tasks!$H$2:$H$117,"Done")/COUNTIFS(Tasks!$B$2:$B$117,$A26,Tasks!$C$2:$C$117,"Frontend"))</f>
        <v>0</v>
      </c>
      <c r="F26" s="10" t="str">
        <f aca="false">COUNTIFS(Tasks!$B$2:$B$117,$A26,Tasks!$D$2:$D$117,"Exit gate",Tasks!$H$2:$H$117,"Done")&amp;" of "&amp;COUNTIFS(Tasks!$B$2:$B$117,$A26,Tasks!$D$2:$D$117,"Exit gate")</f>
        <v>0 of 2</v>
      </c>
    </row>
    <row r="27" customFormat="false" ht="15" hidden="false" customHeight="false" outlineLevel="0" collapsed="false">
      <c r="A27" s="10" t="s">
        <v>36</v>
      </c>
      <c r="B27" s="15" t="n">
        <v>46393</v>
      </c>
      <c r="C27" s="15" t="n">
        <v>46399</v>
      </c>
      <c r="D27" s="11" t="n">
        <f aca="false">IF(COUNTIFS(Tasks!$B$2:$B$117,$A27,Tasks!$C$2:$C$117,"Backend")=0,0,COUNTIFS(Tasks!$B$2:$B$117,$A27,Tasks!$C$2:$C$117,"Backend",Tasks!$H$2:$H$117,"Done")/COUNTIFS(Tasks!$B$2:$B$117,$A27,Tasks!$C$2:$C$117,"Backend"))</f>
        <v>0</v>
      </c>
      <c r="E27" s="11" t="n">
        <f aca="false">IF(COUNTIFS(Tasks!$B$2:$B$117,$A27,Tasks!$C$2:$C$117,"Frontend")=0,0,COUNTIFS(Tasks!$B$2:$B$117,$A27,Tasks!$C$2:$C$117,"Frontend",Tasks!$H$2:$H$117,"Done")/COUNTIFS(Tasks!$B$2:$B$117,$A27,Tasks!$C$2:$C$117,"Frontend"))</f>
        <v>0</v>
      </c>
      <c r="F27" s="10" t="str">
        <f aca="false">COUNTIFS(Tasks!$B$2:$B$117,$A27,Tasks!$D$2:$D$117,"Exit gate",Tasks!$H$2:$H$117,"Done")&amp;" of "&amp;COUNTIFS(Tasks!$B$2:$B$117,$A27,Tasks!$D$2:$D$117,"Exit gate")</f>
        <v>0 of 2</v>
      </c>
    </row>
    <row r="28" customFormat="false" ht="15" hidden="false" customHeight="false" outlineLevel="0" collapsed="false">
      <c r="A28" s="10" t="s">
        <v>37</v>
      </c>
      <c r="B28" s="15" t="n">
        <v>46399</v>
      </c>
      <c r="C28" s="15" t="n">
        <v>46401</v>
      </c>
      <c r="D28" s="11" t="n">
        <f aca="false">IF(COUNTIFS(Tasks!$B$2:$B$117,$A28,Tasks!$C$2:$C$117,"Backend")=0,0,COUNTIFS(Tasks!$B$2:$B$117,$A28,Tasks!$C$2:$C$117,"Backend",Tasks!$H$2:$H$117,"Done")/COUNTIFS(Tasks!$B$2:$B$117,$A28,Tasks!$C$2:$C$117,"Backend"))</f>
        <v>0</v>
      </c>
      <c r="E28" s="11" t="n">
        <f aca="false">IF(COUNTIFS(Tasks!$B$2:$B$117,$A28,Tasks!$C$2:$C$117,"Frontend")=0,0,COUNTIFS(Tasks!$B$2:$B$117,$A28,Tasks!$C$2:$C$117,"Frontend",Tasks!$H$2:$H$117,"Done")/COUNTIFS(Tasks!$B$2:$B$117,$A28,Tasks!$C$2:$C$117,"Frontend"))</f>
        <v>0</v>
      </c>
      <c r="F28" s="10" t="str">
        <f aca="false">COUNTIFS(Tasks!$B$2:$B$117,$A28,Tasks!$D$2:$D$117,"Exit gate",Tasks!$H$2:$H$117,"Done")&amp;" of "&amp;COUNTIFS(Tasks!$B$2:$B$117,$A28,Tasks!$D$2:$D$117,"Exit gate")</f>
        <v>0 of 0</v>
      </c>
    </row>
    <row r="29" customFormat="false" ht="15" hidden="false" customHeight="false" outlineLevel="0" collapsed="false">
      <c r="A29" s="10" t="s">
        <v>38</v>
      </c>
      <c r="B29" s="15" t="n">
        <v>46402</v>
      </c>
      <c r="C29" s="15" t="n">
        <v>46417</v>
      </c>
      <c r="D29" s="11" t="n">
        <f aca="false">IF(COUNTIFS(Tasks!$B$2:$B$117,$A29,Tasks!$C$2:$C$117,"Backend")=0,0,COUNTIFS(Tasks!$B$2:$B$117,$A29,Tasks!$C$2:$C$117,"Backend",Tasks!$H$2:$H$117,"Done")/COUNTIFS(Tasks!$B$2:$B$117,$A29,Tasks!$C$2:$C$117,"Backend"))</f>
        <v>0</v>
      </c>
      <c r="E29" s="11" t="n">
        <f aca="false">IF(COUNTIFS(Tasks!$B$2:$B$117,$A29,Tasks!$C$2:$C$117,"Frontend")=0,0,COUNTIFS(Tasks!$B$2:$B$117,$A29,Tasks!$C$2:$C$117,"Frontend",Tasks!$H$2:$H$117,"Done")/COUNTIFS(Tasks!$B$2:$B$117,$A29,Tasks!$C$2:$C$117,"Frontend"))</f>
        <v>0</v>
      </c>
      <c r="F29" s="10" t="str">
        <f aca="false">COUNTIFS(Tasks!$B$2:$B$117,$A29,Tasks!$D$2:$D$117,"Exit gate",Tasks!$H$2:$H$117,"Done")&amp;" of "&amp;COUNTIFS(Tasks!$B$2:$B$117,$A29,Tasks!$D$2:$D$117,"Exit gate")</f>
        <v>0 of 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0"/>
    <col collapsed="false" customWidth="true" hidden="false" outlineLevel="0" max="4" min="3" style="0" width="11"/>
    <col collapsed="false" customWidth="true" hidden="false" outlineLevel="0" max="5" min="5" style="0" width="70"/>
    <col collapsed="false" customWidth="true" hidden="false" outlineLevel="0" max="7" min="6" style="0" width="15"/>
    <col collapsed="false" customWidth="true" hidden="false" outlineLevel="0" max="8" min="8" style="0" width="13"/>
    <col collapsed="false" customWidth="true" hidden="false" outlineLevel="0" max="9" min="9" style="0" width="30"/>
  </cols>
  <sheetData>
    <row r="1" customFormat="false" ht="15" hidden="false" customHeight="false" outlineLevel="0" collapsed="false">
      <c r="A1" s="9" t="s">
        <v>39</v>
      </c>
      <c r="B1" s="9" t="s">
        <v>24</v>
      </c>
      <c r="C1" s="9" t="s">
        <v>12</v>
      </c>
      <c r="D1" s="9" t="s">
        <v>40</v>
      </c>
      <c r="E1" s="9" t="s">
        <v>41</v>
      </c>
      <c r="F1" s="9" t="s">
        <v>25</v>
      </c>
      <c r="G1" s="9" t="s">
        <v>42</v>
      </c>
      <c r="H1" s="9" t="s">
        <v>43</v>
      </c>
      <c r="I1" s="9" t="s">
        <v>44</v>
      </c>
    </row>
    <row r="2" customFormat="false" ht="23.85" hidden="false" customHeight="false" outlineLevel="0" collapsed="false">
      <c r="A2" s="16" t="s">
        <v>45</v>
      </c>
      <c r="B2" s="16" t="s">
        <v>30</v>
      </c>
      <c r="C2" s="16" t="s">
        <v>20</v>
      </c>
      <c r="D2" s="16" t="s">
        <v>41</v>
      </c>
      <c r="E2" s="16" t="s">
        <v>46</v>
      </c>
      <c r="F2" s="17" t="n">
        <v>46307</v>
      </c>
      <c r="G2" s="17" t="n">
        <v>46311</v>
      </c>
      <c r="H2" s="18" t="s">
        <v>17</v>
      </c>
      <c r="I2" s="16"/>
    </row>
    <row r="3" customFormat="false" ht="23.85" hidden="false" customHeight="false" outlineLevel="0" collapsed="false">
      <c r="A3" s="16" t="s">
        <v>47</v>
      </c>
      <c r="B3" s="16" t="s">
        <v>30</v>
      </c>
      <c r="C3" s="16" t="s">
        <v>20</v>
      </c>
      <c r="D3" s="16" t="s">
        <v>41</v>
      </c>
      <c r="E3" s="16" t="s">
        <v>48</v>
      </c>
      <c r="F3" s="17" t="n">
        <v>46307</v>
      </c>
      <c r="G3" s="17" t="n">
        <v>46311</v>
      </c>
      <c r="H3" s="18" t="s">
        <v>17</v>
      </c>
      <c r="I3" s="16"/>
    </row>
    <row r="4" customFormat="false" ht="15" hidden="false" customHeight="false" outlineLevel="0" collapsed="false">
      <c r="A4" s="16" t="s">
        <v>49</v>
      </c>
      <c r="B4" s="16" t="s">
        <v>30</v>
      </c>
      <c r="C4" s="16" t="s">
        <v>20</v>
      </c>
      <c r="D4" s="16" t="s">
        <v>41</v>
      </c>
      <c r="E4" s="16" t="s">
        <v>50</v>
      </c>
      <c r="F4" s="17" t="n">
        <v>46307</v>
      </c>
      <c r="G4" s="17" t="n">
        <v>46311</v>
      </c>
      <c r="H4" s="18" t="s">
        <v>17</v>
      </c>
      <c r="I4" s="16"/>
    </row>
    <row r="5" customFormat="false" ht="15" hidden="false" customHeight="false" outlineLevel="0" collapsed="false">
      <c r="A5" s="16" t="s">
        <v>51</v>
      </c>
      <c r="B5" s="16" t="s">
        <v>30</v>
      </c>
      <c r="C5" s="16" t="s">
        <v>20</v>
      </c>
      <c r="D5" s="16" t="s">
        <v>41</v>
      </c>
      <c r="E5" s="16" t="s">
        <v>52</v>
      </c>
      <c r="F5" s="17" t="n">
        <v>46307</v>
      </c>
      <c r="G5" s="17" t="n">
        <v>46311</v>
      </c>
      <c r="H5" s="18" t="s">
        <v>17</v>
      </c>
      <c r="I5" s="16"/>
    </row>
    <row r="6" customFormat="false" ht="15" hidden="false" customHeight="false" outlineLevel="0" collapsed="false">
      <c r="A6" s="16" t="s">
        <v>53</v>
      </c>
      <c r="B6" s="16" t="s">
        <v>30</v>
      </c>
      <c r="C6" s="16" t="s">
        <v>20</v>
      </c>
      <c r="D6" s="16" t="s">
        <v>41</v>
      </c>
      <c r="E6" s="16" t="s">
        <v>54</v>
      </c>
      <c r="F6" s="17" t="n">
        <v>46307</v>
      </c>
      <c r="G6" s="17" t="n">
        <v>46311</v>
      </c>
      <c r="H6" s="18" t="s">
        <v>17</v>
      </c>
      <c r="I6" s="16"/>
    </row>
    <row r="7" customFormat="false" ht="15" hidden="false" customHeight="false" outlineLevel="0" collapsed="false">
      <c r="A7" s="16" t="s">
        <v>55</v>
      </c>
      <c r="B7" s="16" t="s">
        <v>30</v>
      </c>
      <c r="C7" s="16" t="s">
        <v>20</v>
      </c>
      <c r="D7" s="16" t="s">
        <v>41</v>
      </c>
      <c r="E7" s="16" t="s">
        <v>56</v>
      </c>
      <c r="F7" s="17" t="n">
        <v>46307</v>
      </c>
      <c r="G7" s="17" t="n">
        <v>46311</v>
      </c>
      <c r="H7" s="18" t="s">
        <v>17</v>
      </c>
      <c r="I7" s="16"/>
    </row>
    <row r="8" customFormat="false" ht="15" hidden="false" customHeight="false" outlineLevel="0" collapsed="false">
      <c r="A8" s="16" t="s">
        <v>57</v>
      </c>
      <c r="B8" s="16" t="s">
        <v>30</v>
      </c>
      <c r="C8" s="16" t="s">
        <v>20</v>
      </c>
      <c r="D8" s="16" t="s">
        <v>58</v>
      </c>
      <c r="E8" s="16" t="s">
        <v>59</v>
      </c>
      <c r="F8" s="17" t="n">
        <v>46307</v>
      </c>
      <c r="G8" s="17" t="n">
        <v>46309</v>
      </c>
      <c r="H8" s="18" t="s">
        <v>17</v>
      </c>
      <c r="I8" s="16"/>
    </row>
    <row r="9" customFormat="false" ht="23.85" hidden="false" customHeight="false" outlineLevel="0" collapsed="false">
      <c r="A9" s="16" t="s">
        <v>60</v>
      </c>
      <c r="B9" s="16" t="s">
        <v>30</v>
      </c>
      <c r="C9" s="16" t="s">
        <v>20</v>
      </c>
      <c r="D9" s="16" t="s">
        <v>41</v>
      </c>
      <c r="E9" s="16" t="s">
        <v>61</v>
      </c>
      <c r="F9" s="17" t="n">
        <v>46307</v>
      </c>
      <c r="G9" s="17" t="n">
        <v>46311</v>
      </c>
      <c r="H9" s="18" t="s">
        <v>17</v>
      </c>
      <c r="I9" s="16"/>
    </row>
    <row r="10" customFormat="false" ht="23.85" hidden="false" customHeight="false" outlineLevel="0" collapsed="false">
      <c r="A10" s="19" t="s">
        <v>62</v>
      </c>
      <c r="B10" s="19" t="s">
        <v>30</v>
      </c>
      <c r="C10" s="19" t="s">
        <v>20</v>
      </c>
      <c r="D10" s="19" t="s">
        <v>63</v>
      </c>
      <c r="E10" s="19" t="s">
        <v>64</v>
      </c>
      <c r="F10" s="20" t="n">
        <v>46307</v>
      </c>
      <c r="G10" s="20" t="n">
        <v>46311</v>
      </c>
      <c r="H10" s="18" t="s">
        <v>17</v>
      </c>
      <c r="I10" s="16"/>
    </row>
    <row r="11" customFormat="false" ht="23.85" hidden="false" customHeight="false" outlineLevel="0" collapsed="false">
      <c r="A11" s="16" t="s">
        <v>65</v>
      </c>
      <c r="B11" s="16" t="s">
        <v>30</v>
      </c>
      <c r="C11" s="16" t="s">
        <v>21</v>
      </c>
      <c r="D11" s="16" t="s">
        <v>41</v>
      </c>
      <c r="E11" s="16" t="s">
        <v>66</v>
      </c>
      <c r="F11" s="17" t="n">
        <v>46307</v>
      </c>
      <c r="G11" s="17" t="n">
        <v>46307</v>
      </c>
      <c r="H11" s="18" t="s">
        <v>17</v>
      </c>
      <c r="I11" s="16"/>
    </row>
    <row r="12" customFormat="false" ht="15" hidden="false" customHeight="false" outlineLevel="0" collapsed="false">
      <c r="A12" s="16" t="s">
        <v>67</v>
      </c>
      <c r="B12" s="16" t="s">
        <v>30</v>
      </c>
      <c r="C12" s="16" t="s">
        <v>21</v>
      </c>
      <c r="D12" s="16" t="s">
        <v>41</v>
      </c>
      <c r="E12" s="16" t="s">
        <v>68</v>
      </c>
      <c r="F12" s="17" t="n">
        <v>46307</v>
      </c>
      <c r="G12" s="17" t="n">
        <v>46311</v>
      </c>
      <c r="H12" s="18" t="s">
        <v>17</v>
      </c>
      <c r="I12" s="16"/>
    </row>
    <row r="13" customFormat="false" ht="23.85" hidden="false" customHeight="false" outlineLevel="0" collapsed="false">
      <c r="A13" s="16" t="s">
        <v>69</v>
      </c>
      <c r="B13" s="16" t="s">
        <v>30</v>
      </c>
      <c r="C13" s="16" t="s">
        <v>21</v>
      </c>
      <c r="D13" s="16" t="s">
        <v>41</v>
      </c>
      <c r="E13" s="16" t="s">
        <v>70</v>
      </c>
      <c r="F13" s="17" t="n">
        <v>46307</v>
      </c>
      <c r="G13" s="17" t="n">
        <v>46311</v>
      </c>
      <c r="H13" s="18" t="s">
        <v>17</v>
      </c>
      <c r="I13" s="16"/>
    </row>
    <row r="14" customFormat="false" ht="15" hidden="false" customHeight="false" outlineLevel="0" collapsed="false">
      <c r="A14" s="16" t="s">
        <v>71</v>
      </c>
      <c r="B14" s="16" t="s">
        <v>30</v>
      </c>
      <c r="C14" s="16" t="s">
        <v>21</v>
      </c>
      <c r="D14" s="16" t="s">
        <v>41</v>
      </c>
      <c r="E14" s="16" t="s">
        <v>72</v>
      </c>
      <c r="F14" s="17" t="n">
        <v>46307</v>
      </c>
      <c r="G14" s="17" t="n">
        <v>46311</v>
      </c>
      <c r="H14" s="18" t="s">
        <v>17</v>
      </c>
      <c r="I14" s="16"/>
    </row>
    <row r="15" customFormat="false" ht="15" hidden="false" customHeight="false" outlineLevel="0" collapsed="false">
      <c r="A15" s="16" t="s">
        <v>73</v>
      </c>
      <c r="B15" s="16" t="s">
        <v>30</v>
      </c>
      <c r="C15" s="16" t="s">
        <v>21</v>
      </c>
      <c r="D15" s="16" t="s">
        <v>41</v>
      </c>
      <c r="E15" s="16" t="s">
        <v>74</v>
      </c>
      <c r="F15" s="17" t="n">
        <v>46307</v>
      </c>
      <c r="G15" s="17" t="n">
        <v>46311</v>
      </c>
      <c r="H15" s="18" t="s">
        <v>17</v>
      </c>
      <c r="I15" s="16"/>
    </row>
    <row r="16" customFormat="false" ht="15" hidden="false" customHeight="false" outlineLevel="0" collapsed="false">
      <c r="A16" s="16" t="s">
        <v>75</v>
      </c>
      <c r="B16" s="16" t="s">
        <v>30</v>
      </c>
      <c r="C16" s="16" t="s">
        <v>21</v>
      </c>
      <c r="D16" s="16" t="s">
        <v>41</v>
      </c>
      <c r="E16" s="16" t="s">
        <v>76</v>
      </c>
      <c r="F16" s="17" t="n">
        <v>46307</v>
      </c>
      <c r="G16" s="17" t="n">
        <v>46311</v>
      </c>
      <c r="H16" s="18" t="s">
        <v>17</v>
      </c>
      <c r="I16" s="16"/>
    </row>
    <row r="17" customFormat="false" ht="15" hidden="false" customHeight="false" outlineLevel="0" collapsed="false">
      <c r="A17" s="16" t="s">
        <v>77</v>
      </c>
      <c r="B17" s="16" t="s">
        <v>30</v>
      </c>
      <c r="C17" s="16" t="s">
        <v>21</v>
      </c>
      <c r="D17" s="16" t="s">
        <v>41</v>
      </c>
      <c r="E17" s="16" t="s">
        <v>78</v>
      </c>
      <c r="F17" s="17" t="n">
        <v>46307</v>
      </c>
      <c r="G17" s="17" t="n">
        <v>46311</v>
      </c>
      <c r="H17" s="18" t="s">
        <v>17</v>
      </c>
      <c r="I17" s="16"/>
    </row>
    <row r="18" customFormat="false" ht="23.85" hidden="false" customHeight="false" outlineLevel="0" collapsed="false">
      <c r="A18" s="16" t="s">
        <v>79</v>
      </c>
      <c r="B18" s="16" t="s">
        <v>30</v>
      </c>
      <c r="C18" s="16" t="s">
        <v>21</v>
      </c>
      <c r="D18" s="16" t="s">
        <v>41</v>
      </c>
      <c r="E18" s="16" t="s">
        <v>80</v>
      </c>
      <c r="F18" s="17" t="n">
        <v>46307</v>
      </c>
      <c r="G18" s="17" t="n">
        <v>46311</v>
      </c>
      <c r="H18" s="18" t="s">
        <v>17</v>
      </c>
      <c r="I18" s="16"/>
    </row>
    <row r="19" customFormat="false" ht="15" hidden="false" customHeight="false" outlineLevel="0" collapsed="false">
      <c r="A19" s="16" t="s">
        <v>81</v>
      </c>
      <c r="B19" s="16" t="s">
        <v>30</v>
      </c>
      <c r="C19" s="16" t="s">
        <v>21</v>
      </c>
      <c r="D19" s="16" t="s">
        <v>58</v>
      </c>
      <c r="E19" s="16" t="s">
        <v>82</v>
      </c>
      <c r="F19" s="17" t="n">
        <v>46307</v>
      </c>
      <c r="G19" s="17" t="n">
        <v>46309</v>
      </c>
      <c r="H19" s="18" t="s">
        <v>17</v>
      </c>
      <c r="I19" s="16"/>
    </row>
    <row r="20" customFormat="false" ht="23.85" hidden="false" customHeight="false" outlineLevel="0" collapsed="false">
      <c r="A20" s="19" t="s">
        <v>83</v>
      </c>
      <c r="B20" s="19" t="s">
        <v>30</v>
      </c>
      <c r="C20" s="19" t="s">
        <v>21</v>
      </c>
      <c r="D20" s="19" t="s">
        <v>63</v>
      </c>
      <c r="E20" s="19" t="s">
        <v>84</v>
      </c>
      <c r="F20" s="20" t="n">
        <v>46307</v>
      </c>
      <c r="G20" s="20" t="n">
        <v>46311</v>
      </c>
      <c r="H20" s="18" t="s">
        <v>17</v>
      </c>
      <c r="I20" s="16"/>
    </row>
    <row r="21" customFormat="false" ht="23.85" hidden="false" customHeight="false" outlineLevel="0" collapsed="false">
      <c r="A21" s="16" t="s">
        <v>85</v>
      </c>
      <c r="B21" s="16" t="s">
        <v>31</v>
      </c>
      <c r="C21" s="16" t="s">
        <v>20</v>
      </c>
      <c r="D21" s="16" t="s">
        <v>41</v>
      </c>
      <c r="E21" s="16" t="s">
        <v>86</v>
      </c>
      <c r="F21" s="17" t="n">
        <v>46314</v>
      </c>
      <c r="G21" s="17" t="n">
        <v>46325</v>
      </c>
      <c r="H21" s="18" t="s">
        <v>17</v>
      </c>
      <c r="I21" s="16"/>
    </row>
    <row r="22" customFormat="false" ht="23.85" hidden="false" customHeight="false" outlineLevel="0" collapsed="false">
      <c r="A22" s="16" t="s">
        <v>87</v>
      </c>
      <c r="B22" s="16" t="s">
        <v>31</v>
      </c>
      <c r="C22" s="16" t="s">
        <v>20</v>
      </c>
      <c r="D22" s="16" t="s">
        <v>41</v>
      </c>
      <c r="E22" s="16" t="s">
        <v>88</v>
      </c>
      <c r="F22" s="17" t="n">
        <v>46314</v>
      </c>
      <c r="G22" s="17" t="n">
        <v>46325</v>
      </c>
      <c r="H22" s="18" t="s">
        <v>17</v>
      </c>
      <c r="I22" s="16"/>
    </row>
    <row r="23" customFormat="false" ht="23.85" hidden="false" customHeight="false" outlineLevel="0" collapsed="false">
      <c r="A23" s="16" t="s">
        <v>89</v>
      </c>
      <c r="B23" s="16" t="s">
        <v>31</v>
      </c>
      <c r="C23" s="16" t="s">
        <v>20</v>
      </c>
      <c r="D23" s="16" t="s">
        <v>41</v>
      </c>
      <c r="E23" s="16" t="s">
        <v>90</v>
      </c>
      <c r="F23" s="17" t="n">
        <v>46314</v>
      </c>
      <c r="G23" s="17" t="n">
        <v>46325</v>
      </c>
      <c r="H23" s="18" t="s">
        <v>17</v>
      </c>
      <c r="I23" s="16"/>
    </row>
    <row r="24" customFormat="false" ht="15" hidden="false" customHeight="false" outlineLevel="0" collapsed="false">
      <c r="A24" s="16" t="s">
        <v>91</v>
      </c>
      <c r="B24" s="16" t="s">
        <v>31</v>
      </c>
      <c r="C24" s="16" t="s">
        <v>20</v>
      </c>
      <c r="D24" s="16" t="s">
        <v>41</v>
      </c>
      <c r="E24" s="16" t="s">
        <v>92</v>
      </c>
      <c r="F24" s="17" t="n">
        <v>46314</v>
      </c>
      <c r="G24" s="17" t="n">
        <v>46325</v>
      </c>
      <c r="H24" s="18" t="s">
        <v>17</v>
      </c>
      <c r="I24" s="16"/>
    </row>
    <row r="25" customFormat="false" ht="15" hidden="false" customHeight="false" outlineLevel="0" collapsed="false">
      <c r="A25" s="16" t="s">
        <v>93</v>
      </c>
      <c r="B25" s="16" t="s">
        <v>31</v>
      </c>
      <c r="C25" s="16" t="s">
        <v>20</v>
      </c>
      <c r="D25" s="16" t="s">
        <v>41</v>
      </c>
      <c r="E25" s="16" t="s">
        <v>94</v>
      </c>
      <c r="F25" s="17" t="n">
        <v>46314</v>
      </c>
      <c r="G25" s="17" t="n">
        <v>46325</v>
      </c>
      <c r="H25" s="18" t="s">
        <v>17</v>
      </c>
      <c r="I25" s="16"/>
    </row>
    <row r="26" customFormat="false" ht="23.85" hidden="false" customHeight="false" outlineLevel="0" collapsed="false">
      <c r="A26" s="16" t="s">
        <v>95</v>
      </c>
      <c r="B26" s="16" t="s">
        <v>31</v>
      </c>
      <c r="C26" s="16" t="s">
        <v>20</v>
      </c>
      <c r="D26" s="16" t="s">
        <v>41</v>
      </c>
      <c r="E26" s="16" t="s">
        <v>96</v>
      </c>
      <c r="F26" s="17" t="n">
        <v>46314</v>
      </c>
      <c r="G26" s="17" t="n">
        <v>46325</v>
      </c>
      <c r="H26" s="18" t="s">
        <v>17</v>
      </c>
      <c r="I26" s="16"/>
    </row>
    <row r="27" customFormat="false" ht="15" hidden="false" customHeight="false" outlineLevel="0" collapsed="false">
      <c r="A27" s="16" t="s">
        <v>97</v>
      </c>
      <c r="B27" s="16" t="s">
        <v>31</v>
      </c>
      <c r="C27" s="16" t="s">
        <v>20</v>
      </c>
      <c r="D27" s="16" t="s">
        <v>41</v>
      </c>
      <c r="E27" s="16" t="s">
        <v>98</v>
      </c>
      <c r="F27" s="17" t="n">
        <v>46314</v>
      </c>
      <c r="G27" s="17" t="n">
        <v>46325</v>
      </c>
      <c r="H27" s="18" t="s">
        <v>17</v>
      </c>
      <c r="I27" s="16"/>
    </row>
    <row r="28" customFormat="false" ht="15" hidden="false" customHeight="false" outlineLevel="0" collapsed="false">
      <c r="A28" s="16" t="s">
        <v>99</v>
      </c>
      <c r="B28" s="16" t="s">
        <v>31</v>
      </c>
      <c r="C28" s="16" t="s">
        <v>20</v>
      </c>
      <c r="D28" s="16" t="s">
        <v>58</v>
      </c>
      <c r="E28" s="16" t="s">
        <v>100</v>
      </c>
      <c r="F28" s="17" t="n">
        <v>46314</v>
      </c>
      <c r="G28" s="17" t="n">
        <v>46323</v>
      </c>
      <c r="H28" s="18" t="s">
        <v>17</v>
      </c>
      <c r="I28" s="16"/>
    </row>
    <row r="29" customFormat="false" ht="23.85" hidden="false" customHeight="false" outlineLevel="0" collapsed="false">
      <c r="A29" s="19" t="s">
        <v>101</v>
      </c>
      <c r="B29" s="19" t="s">
        <v>31</v>
      </c>
      <c r="C29" s="19" t="s">
        <v>20</v>
      </c>
      <c r="D29" s="19" t="s">
        <v>63</v>
      </c>
      <c r="E29" s="19" t="s">
        <v>102</v>
      </c>
      <c r="F29" s="20" t="n">
        <v>46314</v>
      </c>
      <c r="G29" s="20" t="n">
        <v>46325</v>
      </c>
      <c r="H29" s="18" t="s">
        <v>17</v>
      </c>
      <c r="I29" s="16"/>
    </row>
    <row r="30" customFormat="false" ht="23.85" hidden="false" customHeight="false" outlineLevel="0" collapsed="false">
      <c r="A30" s="16" t="s">
        <v>103</v>
      </c>
      <c r="B30" s="16" t="s">
        <v>31</v>
      </c>
      <c r="C30" s="16" t="s">
        <v>21</v>
      </c>
      <c r="D30" s="16" t="s">
        <v>41</v>
      </c>
      <c r="E30" s="16" t="s">
        <v>104</v>
      </c>
      <c r="F30" s="17" t="n">
        <v>46314</v>
      </c>
      <c r="G30" s="17" t="n">
        <v>46325</v>
      </c>
      <c r="H30" s="18" t="s">
        <v>17</v>
      </c>
      <c r="I30" s="16"/>
    </row>
    <row r="31" customFormat="false" ht="15" hidden="false" customHeight="false" outlineLevel="0" collapsed="false">
      <c r="A31" s="16" t="s">
        <v>105</v>
      </c>
      <c r="B31" s="16" t="s">
        <v>31</v>
      </c>
      <c r="C31" s="16" t="s">
        <v>21</v>
      </c>
      <c r="D31" s="16" t="s">
        <v>41</v>
      </c>
      <c r="E31" s="16" t="s">
        <v>106</v>
      </c>
      <c r="F31" s="17" t="n">
        <v>46314</v>
      </c>
      <c r="G31" s="17" t="n">
        <v>46325</v>
      </c>
      <c r="H31" s="18" t="s">
        <v>17</v>
      </c>
      <c r="I31" s="16"/>
    </row>
    <row r="32" customFormat="false" ht="15" hidden="false" customHeight="false" outlineLevel="0" collapsed="false">
      <c r="A32" s="16" t="s">
        <v>107</v>
      </c>
      <c r="B32" s="16" t="s">
        <v>31</v>
      </c>
      <c r="C32" s="16" t="s">
        <v>21</v>
      </c>
      <c r="D32" s="16" t="s">
        <v>41</v>
      </c>
      <c r="E32" s="16" t="s">
        <v>108</v>
      </c>
      <c r="F32" s="17" t="n">
        <v>46314</v>
      </c>
      <c r="G32" s="17" t="n">
        <v>46325</v>
      </c>
      <c r="H32" s="18" t="s">
        <v>17</v>
      </c>
      <c r="I32" s="16"/>
    </row>
    <row r="33" customFormat="false" ht="23.85" hidden="false" customHeight="false" outlineLevel="0" collapsed="false">
      <c r="A33" s="16" t="s">
        <v>109</v>
      </c>
      <c r="B33" s="16" t="s">
        <v>31</v>
      </c>
      <c r="C33" s="16" t="s">
        <v>21</v>
      </c>
      <c r="D33" s="16" t="s">
        <v>41</v>
      </c>
      <c r="E33" s="16" t="s">
        <v>110</v>
      </c>
      <c r="F33" s="17" t="n">
        <v>46314</v>
      </c>
      <c r="G33" s="17" t="n">
        <v>46325</v>
      </c>
      <c r="H33" s="18" t="s">
        <v>17</v>
      </c>
      <c r="I33" s="16"/>
    </row>
    <row r="34" customFormat="false" ht="15" hidden="false" customHeight="false" outlineLevel="0" collapsed="false">
      <c r="A34" s="16" t="s">
        <v>111</v>
      </c>
      <c r="B34" s="16" t="s">
        <v>31</v>
      </c>
      <c r="C34" s="16" t="s">
        <v>21</v>
      </c>
      <c r="D34" s="16" t="s">
        <v>58</v>
      </c>
      <c r="E34" s="16" t="s">
        <v>112</v>
      </c>
      <c r="F34" s="17" t="n">
        <v>46314</v>
      </c>
      <c r="G34" s="17" t="n">
        <v>46323</v>
      </c>
      <c r="H34" s="18" t="s">
        <v>17</v>
      </c>
      <c r="I34" s="16"/>
    </row>
    <row r="35" customFormat="false" ht="23.85" hidden="false" customHeight="false" outlineLevel="0" collapsed="false">
      <c r="A35" s="19" t="s">
        <v>113</v>
      </c>
      <c r="B35" s="19" t="s">
        <v>31</v>
      </c>
      <c r="C35" s="19" t="s">
        <v>21</v>
      </c>
      <c r="D35" s="19" t="s">
        <v>63</v>
      </c>
      <c r="E35" s="19" t="s">
        <v>114</v>
      </c>
      <c r="F35" s="20" t="n">
        <v>46314</v>
      </c>
      <c r="G35" s="20" t="n">
        <v>46325</v>
      </c>
      <c r="H35" s="18" t="s">
        <v>17</v>
      </c>
      <c r="I35" s="16"/>
    </row>
    <row r="36" customFormat="false" ht="23.85" hidden="false" customHeight="false" outlineLevel="0" collapsed="false">
      <c r="A36" s="16" t="s">
        <v>115</v>
      </c>
      <c r="B36" s="16" t="s">
        <v>32</v>
      </c>
      <c r="C36" s="16" t="s">
        <v>20</v>
      </c>
      <c r="D36" s="16" t="s">
        <v>41</v>
      </c>
      <c r="E36" s="16" t="s">
        <v>116</v>
      </c>
      <c r="F36" s="17" t="n">
        <v>46328</v>
      </c>
      <c r="G36" s="17" t="n">
        <v>46346</v>
      </c>
      <c r="H36" s="18" t="s">
        <v>17</v>
      </c>
      <c r="I36" s="16"/>
    </row>
    <row r="37" customFormat="false" ht="23.85" hidden="false" customHeight="false" outlineLevel="0" collapsed="false">
      <c r="A37" s="16" t="s">
        <v>117</v>
      </c>
      <c r="B37" s="16" t="s">
        <v>32</v>
      </c>
      <c r="C37" s="16" t="s">
        <v>20</v>
      </c>
      <c r="D37" s="16" t="s">
        <v>41</v>
      </c>
      <c r="E37" s="16" t="s">
        <v>118</v>
      </c>
      <c r="F37" s="17" t="n">
        <v>46328</v>
      </c>
      <c r="G37" s="17" t="n">
        <v>46346</v>
      </c>
      <c r="H37" s="18" t="s">
        <v>17</v>
      </c>
      <c r="I37" s="16"/>
    </row>
    <row r="38" customFormat="false" ht="23.85" hidden="false" customHeight="false" outlineLevel="0" collapsed="false">
      <c r="A38" s="16" t="s">
        <v>119</v>
      </c>
      <c r="B38" s="16" t="s">
        <v>32</v>
      </c>
      <c r="C38" s="16" t="s">
        <v>20</v>
      </c>
      <c r="D38" s="16" t="s">
        <v>41</v>
      </c>
      <c r="E38" s="16" t="s">
        <v>120</v>
      </c>
      <c r="F38" s="17" t="n">
        <v>46328</v>
      </c>
      <c r="G38" s="17" t="n">
        <v>46346</v>
      </c>
      <c r="H38" s="18" t="s">
        <v>17</v>
      </c>
      <c r="I38" s="16"/>
    </row>
    <row r="39" customFormat="false" ht="23.85" hidden="false" customHeight="false" outlineLevel="0" collapsed="false">
      <c r="A39" s="16" t="s">
        <v>121</v>
      </c>
      <c r="B39" s="16" t="s">
        <v>32</v>
      </c>
      <c r="C39" s="16" t="s">
        <v>20</v>
      </c>
      <c r="D39" s="16" t="s">
        <v>41</v>
      </c>
      <c r="E39" s="16" t="s">
        <v>122</v>
      </c>
      <c r="F39" s="17" t="n">
        <v>46328</v>
      </c>
      <c r="G39" s="17" t="n">
        <v>46346</v>
      </c>
      <c r="H39" s="18" t="s">
        <v>17</v>
      </c>
      <c r="I39" s="16"/>
    </row>
    <row r="40" customFormat="false" ht="23.85" hidden="false" customHeight="false" outlineLevel="0" collapsed="false">
      <c r="A40" s="16" t="s">
        <v>123</v>
      </c>
      <c r="B40" s="16" t="s">
        <v>32</v>
      </c>
      <c r="C40" s="16" t="s">
        <v>20</v>
      </c>
      <c r="D40" s="16" t="s">
        <v>58</v>
      </c>
      <c r="E40" s="16" t="s">
        <v>124</v>
      </c>
      <c r="F40" s="17" t="n">
        <v>46328</v>
      </c>
      <c r="G40" s="17" t="n">
        <v>46344</v>
      </c>
      <c r="H40" s="18" t="s">
        <v>17</v>
      </c>
      <c r="I40" s="16"/>
    </row>
    <row r="41" customFormat="false" ht="23.85" hidden="false" customHeight="false" outlineLevel="0" collapsed="false">
      <c r="A41" s="19" t="s">
        <v>125</v>
      </c>
      <c r="B41" s="19" t="s">
        <v>32</v>
      </c>
      <c r="C41" s="19" t="s">
        <v>20</v>
      </c>
      <c r="D41" s="19" t="s">
        <v>63</v>
      </c>
      <c r="E41" s="19" t="s">
        <v>126</v>
      </c>
      <c r="F41" s="20" t="n">
        <v>46328</v>
      </c>
      <c r="G41" s="20" t="n">
        <v>46346</v>
      </c>
      <c r="H41" s="18" t="s">
        <v>17</v>
      </c>
      <c r="I41" s="16"/>
    </row>
    <row r="42" customFormat="false" ht="23.85" hidden="false" customHeight="false" outlineLevel="0" collapsed="false">
      <c r="A42" s="16" t="s">
        <v>127</v>
      </c>
      <c r="B42" s="16" t="s">
        <v>32</v>
      </c>
      <c r="C42" s="16" t="s">
        <v>21</v>
      </c>
      <c r="D42" s="16" t="s">
        <v>41</v>
      </c>
      <c r="E42" s="16" t="s">
        <v>128</v>
      </c>
      <c r="F42" s="17" t="n">
        <v>46328</v>
      </c>
      <c r="G42" s="17" t="n">
        <v>46346</v>
      </c>
      <c r="H42" s="18" t="s">
        <v>17</v>
      </c>
      <c r="I42" s="16"/>
    </row>
    <row r="43" customFormat="false" ht="23.85" hidden="false" customHeight="false" outlineLevel="0" collapsed="false">
      <c r="A43" s="16" t="s">
        <v>129</v>
      </c>
      <c r="B43" s="16" t="s">
        <v>32</v>
      </c>
      <c r="C43" s="16" t="s">
        <v>21</v>
      </c>
      <c r="D43" s="16" t="s">
        <v>41</v>
      </c>
      <c r="E43" s="16" t="s">
        <v>130</v>
      </c>
      <c r="F43" s="17" t="n">
        <v>46328</v>
      </c>
      <c r="G43" s="17" t="n">
        <v>46346</v>
      </c>
      <c r="H43" s="18" t="s">
        <v>17</v>
      </c>
      <c r="I43" s="16"/>
    </row>
    <row r="44" customFormat="false" ht="23.85" hidden="false" customHeight="false" outlineLevel="0" collapsed="false">
      <c r="A44" s="16" t="s">
        <v>131</v>
      </c>
      <c r="B44" s="16" t="s">
        <v>32</v>
      </c>
      <c r="C44" s="16" t="s">
        <v>21</v>
      </c>
      <c r="D44" s="16" t="s">
        <v>41</v>
      </c>
      <c r="E44" s="16" t="s">
        <v>132</v>
      </c>
      <c r="F44" s="17" t="n">
        <v>46328</v>
      </c>
      <c r="G44" s="17" t="n">
        <v>46346</v>
      </c>
      <c r="H44" s="18" t="s">
        <v>17</v>
      </c>
      <c r="I44" s="16"/>
    </row>
    <row r="45" customFormat="false" ht="23.85" hidden="false" customHeight="false" outlineLevel="0" collapsed="false">
      <c r="A45" s="16" t="s">
        <v>133</v>
      </c>
      <c r="B45" s="16" t="s">
        <v>32</v>
      </c>
      <c r="C45" s="16" t="s">
        <v>21</v>
      </c>
      <c r="D45" s="16" t="s">
        <v>41</v>
      </c>
      <c r="E45" s="16" t="s">
        <v>134</v>
      </c>
      <c r="F45" s="17" t="n">
        <v>46328</v>
      </c>
      <c r="G45" s="17" t="n">
        <v>46346</v>
      </c>
      <c r="H45" s="18" t="s">
        <v>17</v>
      </c>
      <c r="I45" s="16"/>
    </row>
    <row r="46" customFormat="false" ht="23.85" hidden="false" customHeight="false" outlineLevel="0" collapsed="false">
      <c r="A46" s="16" t="s">
        <v>135</v>
      </c>
      <c r="B46" s="16" t="s">
        <v>32</v>
      </c>
      <c r="C46" s="16" t="s">
        <v>21</v>
      </c>
      <c r="D46" s="16" t="s">
        <v>41</v>
      </c>
      <c r="E46" s="16" t="s">
        <v>136</v>
      </c>
      <c r="F46" s="17" t="n">
        <v>46328</v>
      </c>
      <c r="G46" s="17" t="n">
        <v>46346</v>
      </c>
      <c r="H46" s="18" t="s">
        <v>17</v>
      </c>
      <c r="I46" s="16"/>
    </row>
    <row r="47" customFormat="false" ht="23.85" hidden="false" customHeight="false" outlineLevel="0" collapsed="false">
      <c r="A47" s="16" t="s">
        <v>137</v>
      </c>
      <c r="B47" s="16" t="s">
        <v>32</v>
      </c>
      <c r="C47" s="16" t="s">
        <v>21</v>
      </c>
      <c r="D47" s="16" t="s">
        <v>58</v>
      </c>
      <c r="E47" s="16" t="s">
        <v>138</v>
      </c>
      <c r="F47" s="17" t="n">
        <v>46328</v>
      </c>
      <c r="G47" s="17" t="n">
        <v>46344</v>
      </c>
      <c r="H47" s="18" t="s">
        <v>17</v>
      </c>
      <c r="I47" s="16"/>
    </row>
    <row r="48" customFormat="false" ht="23.85" hidden="false" customHeight="false" outlineLevel="0" collapsed="false">
      <c r="A48" s="19" t="s">
        <v>139</v>
      </c>
      <c r="B48" s="19" t="s">
        <v>32</v>
      </c>
      <c r="C48" s="19" t="s">
        <v>21</v>
      </c>
      <c r="D48" s="19" t="s">
        <v>63</v>
      </c>
      <c r="E48" s="19" t="s">
        <v>140</v>
      </c>
      <c r="F48" s="20" t="n">
        <v>46328</v>
      </c>
      <c r="G48" s="20" t="n">
        <v>46346</v>
      </c>
      <c r="H48" s="18" t="s">
        <v>17</v>
      </c>
      <c r="I48" s="16"/>
    </row>
    <row r="49" customFormat="false" ht="23.85" hidden="false" customHeight="false" outlineLevel="0" collapsed="false">
      <c r="A49" s="16" t="s">
        <v>141</v>
      </c>
      <c r="B49" s="16" t="s">
        <v>33</v>
      </c>
      <c r="C49" s="16" t="s">
        <v>20</v>
      </c>
      <c r="D49" s="16" t="s">
        <v>41</v>
      </c>
      <c r="E49" s="16" t="s">
        <v>142</v>
      </c>
      <c r="F49" s="17" t="n">
        <v>46349</v>
      </c>
      <c r="G49" s="17" t="n">
        <v>46360</v>
      </c>
      <c r="H49" s="18" t="s">
        <v>17</v>
      </c>
      <c r="I49" s="16"/>
    </row>
    <row r="50" customFormat="false" ht="23.85" hidden="false" customHeight="false" outlineLevel="0" collapsed="false">
      <c r="A50" s="16" t="s">
        <v>143</v>
      </c>
      <c r="B50" s="16" t="s">
        <v>33</v>
      </c>
      <c r="C50" s="16" t="s">
        <v>20</v>
      </c>
      <c r="D50" s="16" t="s">
        <v>41</v>
      </c>
      <c r="E50" s="16" t="s">
        <v>144</v>
      </c>
      <c r="F50" s="17" t="n">
        <v>46349</v>
      </c>
      <c r="G50" s="17" t="n">
        <v>46360</v>
      </c>
      <c r="H50" s="18" t="s">
        <v>17</v>
      </c>
      <c r="I50" s="16"/>
    </row>
    <row r="51" customFormat="false" ht="23.85" hidden="false" customHeight="false" outlineLevel="0" collapsed="false">
      <c r="A51" s="16" t="s">
        <v>145</v>
      </c>
      <c r="B51" s="16" t="s">
        <v>33</v>
      </c>
      <c r="C51" s="16" t="s">
        <v>20</v>
      </c>
      <c r="D51" s="16" t="s">
        <v>41</v>
      </c>
      <c r="E51" s="16" t="s">
        <v>146</v>
      </c>
      <c r="F51" s="17" t="n">
        <v>46349</v>
      </c>
      <c r="G51" s="17" t="n">
        <v>46360</v>
      </c>
      <c r="H51" s="18" t="s">
        <v>17</v>
      </c>
      <c r="I51" s="16"/>
    </row>
    <row r="52" customFormat="false" ht="23.85" hidden="false" customHeight="false" outlineLevel="0" collapsed="false">
      <c r="A52" s="16" t="s">
        <v>147</v>
      </c>
      <c r="B52" s="16" t="s">
        <v>33</v>
      </c>
      <c r="C52" s="16" t="s">
        <v>20</v>
      </c>
      <c r="D52" s="16" t="s">
        <v>41</v>
      </c>
      <c r="E52" s="16" t="s">
        <v>148</v>
      </c>
      <c r="F52" s="17" t="n">
        <v>46349</v>
      </c>
      <c r="G52" s="17" t="n">
        <v>46360</v>
      </c>
      <c r="H52" s="18" t="s">
        <v>17</v>
      </c>
      <c r="I52" s="16"/>
    </row>
    <row r="53" customFormat="false" ht="23.85" hidden="false" customHeight="false" outlineLevel="0" collapsed="false">
      <c r="A53" s="16" t="s">
        <v>149</v>
      </c>
      <c r="B53" s="16" t="s">
        <v>33</v>
      </c>
      <c r="C53" s="16" t="s">
        <v>20</v>
      </c>
      <c r="D53" s="16" t="s">
        <v>41</v>
      </c>
      <c r="E53" s="16" t="s">
        <v>150</v>
      </c>
      <c r="F53" s="17" t="n">
        <v>46349</v>
      </c>
      <c r="G53" s="17" t="n">
        <v>46360</v>
      </c>
      <c r="H53" s="18" t="s">
        <v>17</v>
      </c>
      <c r="I53" s="16"/>
    </row>
    <row r="54" customFormat="false" ht="23.85" hidden="false" customHeight="false" outlineLevel="0" collapsed="false">
      <c r="A54" s="16" t="s">
        <v>151</v>
      </c>
      <c r="B54" s="16" t="s">
        <v>33</v>
      </c>
      <c r="C54" s="16" t="s">
        <v>20</v>
      </c>
      <c r="D54" s="16" t="s">
        <v>58</v>
      </c>
      <c r="E54" s="16" t="s">
        <v>152</v>
      </c>
      <c r="F54" s="17" t="n">
        <v>46349</v>
      </c>
      <c r="G54" s="17" t="n">
        <v>46358</v>
      </c>
      <c r="H54" s="18" t="s">
        <v>17</v>
      </c>
      <c r="I54" s="16"/>
    </row>
    <row r="55" customFormat="false" ht="23.85" hidden="false" customHeight="false" outlineLevel="0" collapsed="false">
      <c r="A55" s="19" t="s">
        <v>153</v>
      </c>
      <c r="B55" s="19" t="s">
        <v>33</v>
      </c>
      <c r="C55" s="19" t="s">
        <v>20</v>
      </c>
      <c r="D55" s="19" t="s">
        <v>63</v>
      </c>
      <c r="E55" s="19" t="s">
        <v>154</v>
      </c>
      <c r="F55" s="20" t="n">
        <v>46349</v>
      </c>
      <c r="G55" s="20" t="n">
        <v>46360</v>
      </c>
      <c r="H55" s="18" t="s">
        <v>17</v>
      </c>
      <c r="I55" s="16"/>
    </row>
    <row r="56" customFormat="false" ht="23.85" hidden="false" customHeight="false" outlineLevel="0" collapsed="false">
      <c r="A56" s="16" t="s">
        <v>155</v>
      </c>
      <c r="B56" s="16" t="s">
        <v>33</v>
      </c>
      <c r="C56" s="16" t="s">
        <v>21</v>
      </c>
      <c r="D56" s="16" t="s">
        <v>41</v>
      </c>
      <c r="E56" s="16" t="s">
        <v>156</v>
      </c>
      <c r="F56" s="17" t="n">
        <v>46349</v>
      </c>
      <c r="G56" s="17" t="n">
        <v>46360</v>
      </c>
      <c r="H56" s="18" t="s">
        <v>17</v>
      </c>
      <c r="I56" s="16"/>
    </row>
    <row r="57" customFormat="false" ht="23.85" hidden="false" customHeight="false" outlineLevel="0" collapsed="false">
      <c r="A57" s="16" t="s">
        <v>157</v>
      </c>
      <c r="B57" s="16" t="s">
        <v>33</v>
      </c>
      <c r="C57" s="16" t="s">
        <v>21</v>
      </c>
      <c r="D57" s="16" t="s">
        <v>41</v>
      </c>
      <c r="E57" s="16" t="s">
        <v>158</v>
      </c>
      <c r="F57" s="17" t="n">
        <v>46349</v>
      </c>
      <c r="G57" s="17" t="n">
        <v>46360</v>
      </c>
      <c r="H57" s="18" t="s">
        <v>17</v>
      </c>
      <c r="I57" s="16"/>
    </row>
    <row r="58" customFormat="false" ht="23.85" hidden="false" customHeight="false" outlineLevel="0" collapsed="false">
      <c r="A58" s="16" t="s">
        <v>159</v>
      </c>
      <c r="B58" s="16" t="s">
        <v>33</v>
      </c>
      <c r="C58" s="16" t="s">
        <v>21</v>
      </c>
      <c r="D58" s="16" t="s">
        <v>41</v>
      </c>
      <c r="E58" s="16" t="s">
        <v>160</v>
      </c>
      <c r="F58" s="17" t="n">
        <v>46349</v>
      </c>
      <c r="G58" s="17" t="n">
        <v>46360</v>
      </c>
      <c r="H58" s="18" t="s">
        <v>17</v>
      </c>
      <c r="I58" s="16"/>
    </row>
    <row r="59" customFormat="false" ht="23.85" hidden="false" customHeight="false" outlineLevel="0" collapsed="false">
      <c r="A59" s="16" t="s">
        <v>161</v>
      </c>
      <c r="B59" s="16" t="s">
        <v>33</v>
      </c>
      <c r="C59" s="16" t="s">
        <v>21</v>
      </c>
      <c r="D59" s="16" t="s">
        <v>41</v>
      </c>
      <c r="E59" s="16" t="s">
        <v>162</v>
      </c>
      <c r="F59" s="17" t="n">
        <v>46349</v>
      </c>
      <c r="G59" s="17" t="n">
        <v>46360</v>
      </c>
      <c r="H59" s="18" t="s">
        <v>17</v>
      </c>
      <c r="I59" s="16"/>
    </row>
    <row r="60" customFormat="false" ht="23.85" hidden="false" customHeight="false" outlineLevel="0" collapsed="false">
      <c r="A60" s="16" t="s">
        <v>163</v>
      </c>
      <c r="B60" s="16" t="s">
        <v>33</v>
      </c>
      <c r="C60" s="16" t="s">
        <v>21</v>
      </c>
      <c r="D60" s="16" t="s">
        <v>58</v>
      </c>
      <c r="E60" s="16" t="s">
        <v>164</v>
      </c>
      <c r="F60" s="17" t="n">
        <v>46349</v>
      </c>
      <c r="G60" s="17" t="n">
        <v>46358</v>
      </c>
      <c r="H60" s="18" t="s">
        <v>17</v>
      </c>
      <c r="I60" s="16"/>
    </row>
    <row r="61" customFormat="false" ht="23.85" hidden="false" customHeight="false" outlineLevel="0" collapsed="false">
      <c r="A61" s="19" t="s">
        <v>165</v>
      </c>
      <c r="B61" s="19" t="s">
        <v>33</v>
      </c>
      <c r="C61" s="19" t="s">
        <v>21</v>
      </c>
      <c r="D61" s="19" t="s">
        <v>63</v>
      </c>
      <c r="E61" s="19" t="s">
        <v>166</v>
      </c>
      <c r="F61" s="20" t="n">
        <v>46349</v>
      </c>
      <c r="G61" s="20" t="n">
        <v>46360</v>
      </c>
      <c r="H61" s="18" t="s">
        <v>17</v>
      </c>
      <c r="I61" s="16"/>
    </row>
    <row r="62" customFormat="false" ht="23.85" hidden="false" customHeight="false" outlineLevel="0" collapsed="false">
      <c r="A62" s="16" t="s">
        <v>167</v>
      </c>
      <c r="B62" s="16" t="s">
        <v>34</v>
      </c>
      <c r="C62" s="16" t="s">
        <v>20</v>
      </c>
      <c r="D62" s="16" t="s">
        <v>41</v>
      </c>
      <c r="E62" s="16" t="s">
        <v>168</v>
      </c>
      <c r="F62" s="17" t="n">
        <v>46363</v>
      </c>
      <c r="G62" s="17" t="n">
        <v>46374</v>
      </c>
      <c r="H62" s="18" t="s">
        <v>17</v>
      </c>
      <c r="I62" s="16"/>
    </row>
    <row r="63" customFormat="false" ht="23.85" hidden="false" customHeight="false" outlineLevel="0" collapsed="false">
      <c r="A63" s="16" t="s">
        <v>169</v>
      </c>
      <c r="B63" s="16" t="s">
        <v>34</v>
      </c>
      <c r="C63" s="16" t="s">
        <v>20</v>
      </c>
      <c r="D63" s="16" t="s">
        <v>41</v>
      </c>
      <c r="E63" s="16" t="s">
        <v>170</v>
      </c>
      <c r="F63" s="17" t="n">
        <v>46363</v>
      </c>
      <c r="G63" s="17" t="n">
        <v>46374</v>
      </c>
      <c r="H63" s="18" t="s">
        <v>17</v>
      </c>
      <c r="I63" s="16"/>
    </row>
    <row r="64" customFormat="false" ht="23.85" hidden="false" customHeight="false" outlineLevel="0" collapsed="false">
      <c r="A64" s="16" t="s">
        <v>171</v>
      </c>
      <c r="B64" s="16" t="s">
        <v>34</v>
      </c>
      <c r="C64" s="16" t="s">
        <v>20</v>
      </c>
      <c r="D64" s="16" t="s">
        <v>41</v>
      </c>
      <c r="E64" s="16" t="s">
        <v>172</v>
      </c>
      <c r="F64" s="17" t="n">
        <v>46363</v>
      </c>
      <c r="G64" s="17" t="n">
        <v>46374</v>
      </c>
      <c r="H64" s="18" t="s">
        <v>17</v>
      </c>
      <c r="I64" s="16"/>
    </row>
    <row r="65" customFormat="false" ht="23.85" hidden="false" customHeight="false" outlineLevel="0" collapsed="false">
      <c r="A65" s="16" t="s">
        <v>173</v>
      </c>
      <c r="B65" s="16" t="s">
        <v>34</v>
      </c>
      <c r="C65" s="16" t="s">
        <v>20</v>
      </c>
      <c r="D65" s="16" t="s">
        <v>41</v>
      </c>
      <c r="E65" s="16" t="s">
        <v>174</v>
      </c>
      <c r="F65" s="17" t="n">
        <v>46363</v>
      </c>
      <c r="G65" s="17" t="n">
        <v>46374</v>
      </c>
      <c r="H65" s="18" t="s">
        <v>17</v>
      </c>
      <c r="I65" s="16"/>
    </row>
    <row r="66" customFormat="false" ht="23.85" hidden="false" customHeight="false" outlineLevel="0" collapsed="false">
      <c r="A66" s="16" t="s">
        <v>175</v>
      </c>
      <c r="B66" s="16" t="s">
        <v>34</v>
      </c>
      <c r="C66" s="16" t="s">
        <v>20</v>
      </c>
      <c r="D66" s="16" t="s">
        <v>58</v>
      </c>
      <c r="E66" s="16" t="s">
        <v>176</v>
      </c>
      <c r="F66" s="17" t="n">
        <v>46363</v>
      </c>
      <c r="G66" s="17" t="n">
        <v>46372</v>
      </c>
      <c r="H66" s="18" t="s">
        <v>17</v>
      </c>
      <c r="I66" s="16"/>
    </row>
    <row r="67" customFormat="false" ht="23.85" hidden="false" customHeight="false" outlineLevel="0" collapsed="false">
      <c r="A67" s="19" t="s">
        <v>177</v>
      </c>
      <c r="B67" s="19" t="s">
        <v>34</v>
      </c>
      <c r="C67" s="19" t="s">
        <v>20</v>
      </c>
      <c r="D67" s="19" t="s">
        <v>63</v>
      </c>
      <c r="E67" s="19" t="s">
        <v>178</v>
      </c>
      <c r="F67" s="20" t="n">
        <v>46363</v>
      </c>
      <c r="G67" s="20" t="n">
        <v>46374</v>
      </c>
      <c r="H67" s="18" t="s">
        <v>17</v>
      </c>
      <c r="I67" s="16"/>
    </row>
    <row r="68" customFormat="false" ht="23.85" hidden="false" customHeight="false" outlineLevel="0" collapsed="false">
      <c r="A68" s="16" t="s">
        <v>179</v>
      </c>
      <c r="B68" s="16" t="s">
        <v>34</v>
      </c>
      <c r="C68" s="16" t="s">
        <v>21</v>
      </c>
      <c r="D68" s="16" t="s">
        <v>41</v>
      </c>
      <c r="E68" s="16" t="s">
        <v>180</v>
      </c>
      <c r="F68" s="17" t="n">
        <v>46363</v>
      </c>
      <c r="G68" s="17" t="n">
        <v>46374</v>
      </c>
      <c r="H68" s="18" t="s">
        <v>17</v>
      </c>
      <c r="I68" s="16"/>
    </row>
    <row r="69" customFormat="false" ht="23.85" hidden="false" customHeight="false" outlineLevel="0" collapsed="false">
      <c r="A69" s="16" t="s">
        <v>181</v>
      </c>
      <c r="B69" s="16" t="s">
        <v>34</v>
      </c>
      <c r="C69" s="16" t="s">
        <v>21</v>
      </c>
      <c r="D69" s="16" t="s">
        <v>41</v>
      </c>
      <c r="E69" s="16" t="s">
        <v>182</v>
      </c>
      <c r="F69" s="17" t="n">
        <v>46363</v>
      </c>
      <c r="G69" s="17" t="n">
        <v>46374</v>
      </c>
      <c r="H69" s="18" t="s">
        <v>17</v>
      </c>
      <c r="I69" s="16"/>
    </row>
    <row r="70" customFormat="false" ht="23.85" hidden="false" customHeight="false" outlineLevel="0" collapsed="false">
      <c r="A70" s="16" t="s">
        <v>183</v>
      </c>
      <c r="B70" s="16" t="s">
        <v>34</v>
      </c>
      <c r="C70" s="16" t="s">
        <v>21</v>
      </c>
      <c r="D70" s="16" t="s">
        <v>41</v>
      </c>
      <c r="E70" s="16" t="s">
        <v>184</v>
      </c>
      <c r="F70" s="17" t="n">
        <v>46363</v>
      </c>
      <c r="G70" s="17" t="n">
        <v>46374</v>
      </c>
      <c r="H70" s="18" t="s">
        <v>17</v>
      </c>
      <c r="I70" s="16"/>
    </row>
    <row r="71" customFormat="false" ht="23.85" hidden="false" customHeight="false" outlineLevel="0" collapsed="false">
      <c r="A71" s="16" t="s">
        <v>185</v>
      </c>
      <c r="B71" s="16" t="s">
        <v>34</v>
      </c>
      <c r="C71" s="16" t="s">
        <v>21</v>
      </c>
      <c r="D71" s="16" t="s">
        <v>58</v>
      </c>
      <c r="E71" s="16" t="s">
        <v>186</v>
      </c>
      <c r="F71" s="17" t="n">
        <v>46363</v>
      </c>
      <c r="G71" s="17" t="n">
        <v>46372</v>
      </c>
      <c r="H71" s="18" t="s">
        <v>17</v>
      </c>
      <c r="I71" s="16"/>
    </row>
    <row r="72" customFormat="false" ht="23.85" hidden="false" customHeight="false" outlineLevel="0" collapsed="false">
      <c r="A72" s="19" t="s">
        <v>187</v>
      </c>
      <c r="B72" s="19" t="s">
        <v>34</v>
      </c>
      <c r="C72" s="19" t="s">
        <v>21</v>
      </c>
      <c r="D72" s="19" t="s">
        <v>63</v>
      </c>
      <c r="E72" s="19" t="s">
        <v>188</v>
      </c>
      <c r="F72" s="20" t="n">
        <v>46363</v>
      </c>
      <c r="G72" s="20" t="n">
        <v>46374</v>
      </c>
      <c r="H72" s="18" t="s">
        <v>17</v>
      </c>
      <c r="I72" s="16"/>
    </row>
    <row r="73" customFormat="false" ht="23.85" hidden="false" customHeight="false" outlineLevel="0" collapsed="false">
      <c r="A73" s="16" t="s">
        <v>189</v>
      </c>
      <c r="B73" s="16" t="s">
        <v>35</v>
      </c>
      <c r="C73" s="16" t="s">
        <v>20</v>
      </c>
      <c r="D73" s="16" t="s">
        <v>41</v>
      </c>
      <c r="E73" s="16" t="s">
        <v>190</v>
      </c>
      <c r="F73" s="17" t="n">
        <v>46377</v>
      </c>
      <c r="G73" s="17" t="n">
        <v>46392</v>
      </c>
      <c r="H73" s="18" t="s">
        <v>17</v>
      </c>
      <c r="I73" s="16"/>
    </row>
    <row r="74" customFormat="false" ht="23.85" hidden="false" customHeight="false" outlineLevel="0" collapsed="false">
      <c r="A74" s="16" t="s">
        <v>191</v>
      </c>
      <c r="B74" s="16" t="s">
        <v>35</v>
      </c>
      <c r="C74" s="16" t="s">
        <v>20</v>
      </c>
      <c r="D74" s="16" t="s">
        <v>41</v>
      </c>
      <c r="E74" s="16" t="s">
        <v>192</v>
      </c>
      <c r="F74" s="17" t="n">
        <v>46377</v>
      </c>
      <c r="G74" s="17" t="n">
        <v>46392</v>
      </c>
      <c r="H74" s="18" t="s">
        <v>17</v>
      </c>
      <c r="I74" s="16"/>
    </row>
    <row r="75" customFormat="false" ht="23.85" hidden="false" customHeight="false" outlineLevel="0" collapsed="false">
      <c r="A75" s="16" t="s">
        <v>193</v>
      </c>
      <c r="B75" s="16" t="s">
        <v>35</v>
      </c>
      <c r="C75" s="16" t="s">
        <v>20</v>
      </c>
      <c r="D75" s="16" t="s">
        <v>41</v>
      </c>
      <c r="E75" s="16" t="s">
        <v>194</v>
      </c>
      <c r="F75" s="17" t="n">
        <v>46377</v>
      </c>
      <c r="G75" s="17" t="n">
        <v>46392</v>
      </c>
      <c r="H75" s="18" t="s">
        <v>17</v>
      </c>
      <c r="I75" s="16"/>
    </row>
    <row r="76" customFormat="false" ht="23.85" hidden="false" customHeight="false" outlineLevel="0" collapsed="false">
      <c r="A76" s="16" t="s">
        <v>195</v>
      </c>
      <c r="B76" s="16" t="s">
        <v>35</v>
      </c>
      <c r="C76" s="16" t="s">
        <v>20</v>
      </c>
      <c r="D76" s="16" t="s">
        <v>41</v>
      </c>
      <c r="E76" s="16" t="s">
        <v>196</v>
      </c>
      <c r="F76" s="17" t="n">
        <v>46377</v>
      </c>
      <c r="G76" s="17" t="n">
        <v>46392</v>
      </c>
      <c r="H76" s="18" t="s">
        <v>17</v>
      </c>
      <c r="I76" s="16"/>
    </row>
    <row r="77" customFormat="false" ht="23.85" hidden="false" customHeight="false" outlineLevel="0" collapsed="false">
      <c r="A77" s="16" t="s">
        <v>197</v>
      </c>
      <c r="B77" s="16" t="s">
        <v>35</v>
      </c>
      <c r="C77" s="16" t="s">
        <v>20</v>
      </c>
      <c r="D77" s="16" t="s">
        <v>58</v>
      </c>
      <c r="E77" s="16" t="s">
        <v>198</v>
      </c>
      <c r="F77" s="17" t="n">
        <v>46377</v>
      </c>
      <c r="G77" s="17" t="n">
        <v>46386</v>
      </c>
      <c r="H77" s="18" t="s">
        <v>17</v>
      </c>
      <c r="I77" s="16"/>
    </row>
    <row r="78" customFormat="false" ht="23.85" hidden="false" customHeight="false" outlineLevel="0" collapsed="false">
      <c r="A78" s="19" t="s">
        <v>199</v>
      </c>
      <c r="B78" s="19" t="s">
        <v>35</v>
      </c>
      <c r="C78" s="19" t="s">
        <v>20</v>
      </c>
      <c r="D78" s="19" t="s">
        <v>63</v>
      </c>
      <c r="E78" s="19" t="s">
        <v>200</v>
      </c>
      <c r="F78" s="20" t="n">
        <v>46377</v>
      </c>
      <c r="G78" s="20" t="n">
        <v>46392</v>
      </c>
      <c r="H78" s="18" t="s">
        <v>17</v>
      </c>
      <c r="I78" s="16"/>
    </row>
    <row r="79" customFormat="false" ht="23.85" hidden="false" customHeight="false" outlineLevel="0" collapsed="false">
      <c r="A79" s="16" t="s">
        <v>201</v>
      </c>
      <c r="B79" s="16" t="s">
        <v>35</v>
      </c>
      <c r="C79" s="16" t="s">
        <v>21</v>
      </c>
      <c r="D79" s="16" t="s">
        <v>41</v>
      </c>
      <c r="E79" s="16" t="s">
        <v>202</v>
      </c>
      <c r="F79" s="17" t="n">
        <v>46377</v>
      </c>
      <c r="G79" s="17" t="n">
        <v>46392</v>
      </c>
      <c r="H79" s="18" t="s">
        <v>17</v>
      </c>
      <c r="I79" s="16"/>
    </row>
    <row r="80" customFormat="false" ht="23.85" hidden="false" customHeight="false" outlineLevel="0" collapsed="false">
      <c r="A80" s="16" t="s">
        <v>203</v>
      </c>
      <c r="B80" s="16" t="s">
        <v>35</v>
      </c>
      <c r="C80" s="16" t="s">
        <v>21</v>
      </c>
      <c r="D80" s="16" t="s">
        <v>41</v>
      </c>
      <c r="E80" s="16" t="s">
        <v>204</v>
      </c>
      <c r="F80" s="17" t="n">
        <v>46377</v>
      </c>
      <c r="G80" s="17" t="n">
        <v>46392</v>
      </c>
      <c r="H80" s="18" t="s">
        <v>17</v>
      </c>
      <c r="I80" s="16"/>
    </row>
    <row r="81" customFormat="false" ht="23.85" hidden="false" customHeight="false" outlineLevel="0" collapsed="false">
      <c r="A81" s="16" t="s">
        <v>205</v>
      </c>
      <c r="B81" s="16" t="s">
        <v>35</v>
      </c>
      <c r="C81" s="16" t="s">
        <v>21</v>
      </c>
      <c r="D81" s="16" t="s">
        <v>41</v>
      </c>
      <c r="E81" s="16" t="s">
        <v>206</v>
      </c>
      <c r="F81" s="17" t="n">
        <v>46377</v>
      </c>
      <c r="G81" s="17" t="n">
        <v>46392</v>
      </c>
      <c r="H81" s="18" t="s">
        <v>17</v>
      </c>
      <c r="I81" s="16"/>
    </row>
    <row r="82" customFormat="false" ht="23.85" hidden="false" customHeight="false" outlineLevel="0" collapsed="false">
      <c r="A82" s="16" t="s">
        <v>207</v>
      </c>
      <c r="B82" s="16" t="s">
        <v>35</v>
      </c>
      <c r="C82" s="16" t="s">
        <v>21</v>
      </c>
      <c r="D82" s="16" t="s">
        <v>41</v>
      </c>
      <c r="E82" s="16" t="s">
        <v>208</v>
      </c>
      <c r="F82" s="17" t="n">
        <v>46377</v>
      </c>
      <c r="G82" s="17" t="n">
        <v>46392</v>
      </c>
      <c r="H82" s="18" t="s">
        <v>17</v>
      </c>
      <c r="I82" s="16"/>
    </row>
    <row r="83" customFormat="false" ht="23.85" hidden="false" customHeight="false" outlineLevel="0" collapsed="false">
      <c r="A83" s="16" t="s">
        <v>209</v>
      </c>
      <c r="B83" s="16" t="s">
        <v>35</v>
      </c>
      <c r="C83" s="16" t="s">
        <v>21</v>
      </c>
      <c r="D83" s="16" t="s">
        <v>58</v>
      </c>
      <c r="E83" s="16" t="s">
        <v>210</v>
      </c>
      <c r="F83" s="17" t="n">
        <v>46377</v>
      </c>
      <c r="G83" s="17" t="n">
        <v>46386</v>
      </c>
      <c r="H83" s="18" t="s">
        <v>17</v>
      </c>
      <c r="I83" s="16"/>
    </row>
    <row r="84" customFormat="false" ht="23.85" hidden="false" customHeight="false" outlineLevel="0" collapsed="false">
      <c r="A84" s="19" t="s">
        <v>211</v>
      </c>
      <c r="B84" s="19" t="s">
        <v>35</v>
      </c>
      <c r="C84" s="19" t="s">
        <v>21</v>
      </c>
      <c r="D84" s="19" t="s">
        <v>63</v>
      </c>
      <c r="E84" s="19" t="s">
        <v>212</v>
      </c>
      <c r="F84" s="20" t="n">
        <v>46377</v>
      </c>
      <c r="G84" s="20" t="n">
        <v>46392</v>
      </c>
      <c r="H84" s="18" t="s">
        <v>17</v>
      </c>
      <c r="I84" s="16"/>
    </row>
    <row r="85" customFormat="false" ht="23.85" hidden="false" customHeight="false" outlineLevel="0" collapsed="false">
      <c r="A85" s="16" t="s">
        <v>213</v>
      </c>
      <c r="B85" s="16" t="s">
        <v>36</v>
      </c>
      <c r="C85" s="16" t="s">
        <v>20</v>
      </c>
      <c r="D85" s="16" t="s">
        <v>41</v>
      </c>
      <c r="E85" s="16" t="s">
        <v>214</v>
      </c>
      <c r="F85" s="17" t="n">
        <v>46393</v>
      </c>
      <c r="G85" s="17" t="n">
        <v>46399</v>
      </c>
      <c r="H85" s="18" t="s">
        <v>17</v>
      </c>
      <c r="I85" s="16"/>
    </row>
    <row r="86" customFormat="false" ht="23.85" hidden="false" customHeight="false" outlineLevel="0" collapsed="false">
      <c r="A86" s="16" t="s">
        <v>215</v>
      </c>
      <c r="B86" s="16" t="s">
        <v>36</v>
      </c>
      <c r="C86" s="16" t="s">
        <v>20</v>
      </c>
      <c r="D86" s="16" t="s">
        <v>41</v>
      </c>
      <c r="E86" s="16" t="s">
        <v>216</v>
      </c>
      <c r="F86" s="17" t="n">
        <v>46393</v>
      </c>
      <c r="G86" s="17" t="n">
        <v>46399</v>
      </c>
      <c r="H86" s="18" t="s">
        <v>17</v>
      </c>
      <c r="I86" s="16"/>
    </row>
    <row r="87" customFormat="false" ht="23.85" hidden="false" customHeight="false" outlineLevel="0" collapsed="false">
      <c r="A87" s="16" t="s">
        <v>217</v>
      </c>
      <c r="B87" s="16" t="s">
        <v>36</v>
      </c>
      <c r="C87" s="16" t="s">
        <v>20</v>
      </c>
      <c r="D87" s="16" t="s">
        <v>41</v>
      </c>
      <c r="E87" s="16" t="s">
        <v>218</v>
      </c>
      <c r="F87" s="17" t="n">
        <v>46393</v>
      </c>
      <c r="G87" s="17" t="n">
        <v>46399</v>
      </c>
      <c r="H87" s="18" t="s">
        <v>17</v>
      </c>
      <c r="I87" s="16"/>
    </row>
    <row r="88" customFormat="false" ht="23.85" hidden="false" customHeight="false" outlineLevel="0" collapsed="false">
      <c r="A88" s="19" t="s">
        <v>219</v>
      </c>
      <c r="B88" s="19" t="s">
        <v>36</v>
      </c>
      <c r="C88" s="19" t="s">
        <v>20</v>
      </c>
      <c r="D88" s="19" t="s">
        <v>63</v>
      </c>
      <c r="E88" s="19" t="s">
        <v>220</v>
      </c>
      <c r="F88" s="20" t="n">
        <v>46393</v>
      </c>
      <c r="G88" s="20" t="n">
        <v>46399</v>
      </c>
      <c r="H88" s="18" t="s">
        <v>17</v>
      </c>
      <c r="I88" s="16"/>
    </row>
    <row r="89" customFormat="false" ht="23.85" hidden="false" customHeight="false" outlineLevel="0" collapsed="false">
      <c r="A89" s="16" t="s">
        <v>221</v>
      </c>
      <c r="B89" s="16" t="s">
        <v>36</v>
      </c>
      <c r="C89" s="16" t="s">
        <v>21</v>
      </c>
      <c r="D89" s="16" t="s">
        <v>41</v>
      </c>
      <c r="E89" s="16" t="s">
        <v>222</v>
      </c>
      <c r="F89" s="17" t="n">
        <v>46393</v>
      </c>
      <c r="G89" s="17" t="n">
        <v>46399</v>
      </c>
      <c r="H89" s="18" t="s">
        <v>17</v>
      </c>
      <c r="I89" s="16"/>
    </row>
    <row r="90" customFormat="false" ht="23.85" hidden="false" customHeight="false" outlineLevel="0" collapsed="false">
      <c r="A90" s="16" t="s">
        <v>223</v>
      </c>
      <c r="B90" s="16" t="s">
        <v>36</v>
      </c>
      <c r="C90" s="16" t="s">
        <v>21</v>
      </c>
      <c r="D90" s="16" t="s">
        <v>41</v>
      </c>
      <c r="E90" s="16" t="s">
        <v>224</v>
      </c>
      <c r="F90" s="17" t="n">
        <v>46393</v>
      </c>
      <c r="G90" s="17" t="n">
        <v>46399</v>
      </c>
      <c r="H90" s="18" t="s">
        <v>17</v>
      </c>
      <c r="I90" s="16"/>
    </row>
    <row r="91" customFormat="false" ht="23.85" hidden="false" customHeight="false" outlineLevel="0" collapsed="false">
      <c r="A91" s="16" t="s">
        <v>225</v>
      </c>
      <c r="B91" s="16" t="s">
        <v>36</v>
      </c>
      <c r="C91" s="16" t="s">
        <v>21</v>
      </c>
      <c r="D91" s="16" t="s">
        <v>41</v>
      </c>
      <c r="E91" s="16" t="s">
        <v>226</v>
      </c>
      <c r="F91" s="17" t="n">
        <v>46393</v>
      </c>
      <c r="G91" s="17" t="n">
        <v>46399</v>
      </c>
      <c r="H91" s="18" t="s">
        <v>17</v>
      </c>
      <c r="I91" s="16"/>
    </row>
    <row r="92" customFormat="false" ht="23.85" hidden="false" customHeight="false" outlineLevel="0" collapsed="false">
      <c r="A92" s="16" t="s">
        <v>227</v>
      </c>
      <c r="B92" s="16" t="s">
        <v>36</v>
      </c>
      <c r="C92" s="16" t="s">
        <v>21</v>
      </c>
      <c r="D92" s="16" t="s">
        <v>41</v>
      </c>
      <c r="E92" s="16" t="s">
        <v>228</v>
      </c>
      <c r="F92" s="17" t="n">
        <v>46393</v>
      </c>
      <c r="G92" s="17" t="n">
        <v>46399</v>
      </c>
      <c r="H92" s="18" t="s">
        <v>17</v>
      </c>
      <c r="I92" s="16"/>
    </row>
    <row r="93" customFormat="false" ht="23.85" hidden="false" customHeight="false" outlineLevel="0" collapsed="false">
      <c r="A93" s="19" t="s">
        <v>229</v>
      </c>
      <c r="B93" s="19" t="s">
        <v>36</v>
      </c>
      <c r="C93" s="19" t="s">
        <v>21</v>
      </c>
      <c r="D93" s="19" t="s">
        <v>63</v>
      </c>
      <c r="E93" s="19" t="s">
        <v>230</v>
      </c>
      <c r="F93" s="20" t="n">
        <v>46393</v>
      </c>
      <c r="G93" s="20" t="n">
        <v>46399</v>
      </c>
      <c r="H93" s="18" t="s">
        <v>17</v>
      </c>
      <c r="I93" s="16"/>
    </row>
    <row r="94" customFormat="false" ht="23.85" hidden="false" customHeight="false" outlineLevel="0" collapsed="false">
      <c r="A94" s="16" t="s">
        <v>231</v>
      </c>
      <c r="B94" s="16" t="s">
        <v>37</v>
      </c>
      <c r="C94" s="16" t="s">
        <v>20</v>
      </c>
      <c r="D94" s="16" t="s">
        <v>41</v>
      </c>
      <c r="E94" s="16" t="s">
        <v>232</v>
      </c>
      <c r="F94" s="17" t="n">
        <v>46399</v>
      </c>
      <c r="G94" s="17" t="n">
        <v>46401</v>
      </c>
      <c r="H94" s="18" t="s">
        <v>17</v>
      </c>
      <c r="I94" s="16"/>
    </row>
    <row r="95" customFormat="false" ht="15" hidden="false" customHeight="false" outlineLevel="0" collapsed="false">
      <c r="A95" s="16" t="s">
        <v>233</v>
      </c>
      <c r="B95" s="16" t="s">
        <v>37</v>
      </c>
      <c r="C95" s="16" t="s">
        <v>20</v>
      </c>
      <c r="D95" s="16" t="s">
        <v>41</v>
      </c>
      <c r="E95" s="16" t="s">
        <v>234</v>
      </c>
      <c r="F95" s="17" t="n">
        <v>46399</v>
      </c>
      <c r="G95" s="17" t="n">
        <v>46401</v>
      </c>
      <c r="H95" s="18" t="s">
        <v>17</v>
      </c>
      <c r="I95" s="16"/>
    </row>
    <row r="96" customFormat="false" ht="23.85" hidden="false" customHeight="false" outlineLevel="0" collapsed="false">
      <c r="A96" s="16" t="s">
        <v>235</v>
      </c>
      <c r="B96" s="16" t="s">
        <v>37</v>
      </c>
      <c r="C96" s="16" t="s">
        <v>20</v>
      </c>
      <c r="D96" s="16" t="s">
        <v>41</v>
      </c>
      <c r="E96" s="16" t="s">
        <v>236</v>
      </c>
      <c r="F96" s="17" t="n">
        <v>46399</v>
      </c>
      <c r="G96" s="17" t="n">
        <v>46401</v>
      </c>
      <c r="H96" s="18" t="s">
        <v>17</v>
      </c>
      <c r="I96" s="16"/>
    </row>
    <row r="97" customFormat="false" ht="15" hidden="false" customHeight="false" outlineLevel="0" collapsed="false">
      <c r="A97" s="16" t="s">
        <v>237</v>
      </c>
      <c r="B97" s="16" t="s">
        <v>37</v>
      </c>
      <c r="C97" s="16" t="s">
        <v>20</v>
      </c>
      <c r="D97" s="16" t="s">
        <v>41</v>
      </c>
      <c r="E97" s="16" t="s">
        <v>238</v>
      </c>
      <c r="F97" s="17" t="n">
        <v>46399</v>
      </c>
      <c r="G97" s="17" t="n">
        <v>46401</v>
      </c>
      <c r="H97" s="18" t="s">
        <v>17</v>
      </c>
      <c r="I97" s="16"/>
    </row>
    <row r="98" customFormat="false" ht="15" hidden="false" customHeight="false" outlineLevel="0" collapsed="false">
      <c r="A98" s="16" t="s">
        <v>239</v>
      </c>
      <c r="B98" s="16" t="s">
        <v>37</v>
      </c>
      <c r="C98" s="16" t="s">
        <v>20</v>
      </c>
      <c r="D98" s="16" t="s">
        <v>41</v>
      </c>
      <c r="E98" s="16" t="s">
        <v>240</v>
      </c>
      <c r="F98" s="17" t="n">
        <v>46399</v>
      </c>
      <c r="G98" s="17" t="n">
        <v>46401</v>
      </c>
      <c r="H98" s="18" t="s">
        <v>17</v>
      </c>
      <c r="I98" s="16"/>
    </row>
    <row r="99" customFormat="false" ht="15" hidden="false" customHeight="false" outlineLevel="0" collapsed="false">
      <c r="A99" s="16" t="s">
        <v>241</v>
      </c>
      <c r="B99" s="16" t="s">
        <v>37</v>
      </c>
      <c r="C99" s="16" t="s">
        <v>20</v>
      </c>
      <c r="D99" s="16" t="s">
        <v>41</v>
      </c>
      <c r="E99" s="16" t="s">
        <v>242</v>
      </c>
      <c r="F99" s="17" t="n">
        <v>46399</v>
      </c>
      <c r="G99" s="17" t="n">
        <v>46401</v>
      </c>
      <c r="H99" s="18" t="s">
        <v>17</v>
      </c>
      <c r="I99" s="16"/>
    </row>
    <row r="100" customFormat="false" ht="15" hidden="false" customHeight="false" outlineLevel="0" collapsed="false">
      <c r="A100" s="16" t="s">
        <v>243</v>
      </c>
      <c r="B100" s="16" t="s">
        <v>37</v>
      </c>
      <c r="C100" s="16" t="s">
        <v>21</v>
      </c>
      <c r="D100" s="16" t="s">
        <v>41</v>
      </c>
      <c r="E100" s="16" t="s">
        <v>244</v>
      </c>
      <c r="F100" s="17" t="n">
        <v>46399</v>
      </c>
      <c r="G100" s="17" t="n">
        <v>46401</v>
      </c>
      <c r="H100" s="18" t="s">
        <v>17</v>
      </c>
      <c r="I100" s="16"/>
    </row>
    <row r="101" customFormat="false" ht="15" hidden="false" customHeight="false" outlineLevel="0" collapsed="false">
      <c r="A101" s="16" t="s">
        <v>245</v>
      </c>
      <c r="B101" s="16" t="s">
        <v>37</v>
      </c>
      <c r="C101" s="16" t="s">
        <v>21</v>
      </c>
      <c r="D101" s="16" t="s">
        <v>41</v>
      </c>
      <c r="E101" s="16" t="s">
        <v>246</v>
      </c>
      <c r="F101" s="17" t="n">
        <v>46399</v>
      </c>
      <c r="G101" s="17" t="n">
        <v>46401</v>
      </c>
      <c r="H101" s="18" t="s">
        <v>17</v>
      </c>
      <c r="I101" s="16"/>
    </row>
    <row r="102" customFormat="false" ht="23.85" hidden="false" customHeight="false" outlineLevel="0" collapsed="false">
      <c r="A102" s="16" t="s">
        <v>247</v>
      </c>
      <c r="B102" s="16" t="s">
        <v>37</v>
      </c>
      <c r="C102" s="16" t="s">
        <v>21</v>
      </c>
      <c r="D102" s="16" t="s">
        <v>41</v>
      </c>
      <c r="E102" s="16" t="s">
        <v>248</v>
      </c>
      <c r="F102" s="17" t="n">
        <v>46399</v>
      </c>
      <c r="G102" s="17" t="n">
        <v>46401</v>
      </c>
      <c r="H102" s="18" t="s">
        <v>17</v>
      </c>
      <c r="I102" s="16"/>
    </row>
    <row r="103" customFormat="false" ht="15" hidden="false" customHeight="false" outlineLevel="0" collapsed="false">
      <c r="A103" s="16" t="s">
        <v>249</v>
      </c>
      <c r="B103" s="16" t="s">
        <v>37</v>
      </c>
      <c r="C103" s="16" t="s">
        <v>21</v>
      </c>
      <c r="D103" s="16" t="s">
        <v>41</v>
      </c>
      <c r="E103" s="16" t="s">
        <v>250</v>
      </c>
      <c r="F103" s="17" t="n">
        <v>46399</v>
      </c>
      <c r="G103" s="17" t="n">
        <v>46401</v>
      </c>
      <c r="H103" s="18" t="s">
        <v>17</v>
      </c>
      <c r="I103" s="16"/>
    </row>
    <row r="104" customFormat="false" ht="15" hidden="false" customHeight="false" outlineLevel="0" collapsed="false">
      <c r="A104" s="16" t="s">
        <v>251</v>
      </c>
      <c r="B104" s="16" t="s">
        <v>37</v>
      </c>
      <c r="C104" s="16" t="s">
        <v>21</v>
      </c>
      <c r="D104" s="16" t="s">
        <v>41</v>
      </c>
      <c r="E104" s="16" t="s">
        <v>252</v>
      </c>
      <c r="F104" s="17" t="n">
        <v>46399</v>
      </c>
      <c r="G104" s="17" t="n">
        <v>46401</v>
      </c>
      <c r="H104" s="18" t="s">
        <v>17</v>
      </c>
      <c r="I104" s="16"/>
    </row>
    <row r="105" customFormat="false" ht="15" hidden="false" customHeight="false" outlineLevel="0" collapsed="false">
      <c r="A105" s="16" t="s">
        <v>253</v>
      </c>
      <c r="B105" s="16" t="s">
        <v>37</v>
      </c>
      <c r="C105" s="16" t="s">
        <v>21</v>
      </c>
      <c r="D105" s="16" t="s">
        <v>41</v>
      </c>
      <c r="E105" s="16" t="s">
        <v>242</v>
      </c>
      <c r="F105" s="17" t="n">
        <v>46399</v>
      </c>
      <c r="G105" s="17" t="n">
        <v>46401</v>
      </c>
      <c r="H105" s="18" t="s">
        <v>17</v>
      </c>
      <c r="I105" s="16"/>
    </row>
    <row r="106" customFormat="false" ht="15" hidden="false" customHeight="false" outlineLevel="0" collapsed="false">
      <c r="A106" s="16" t="s">
        <v>254</v>
      </c>
      <c r="B106" s="16" t="s">
        <v>38</v>
      </c>
      <c r="C106" s="16" t="s">
        <v>20</v>
      </c>
      <c r="D106" s="16" t="s">
        <v>41</v>
      </c>
      <c r="E106" s="16" t="s">
        <v>255</v>
      </c>
      <c r="F106" s="17" t="n">
        <v>46402</v>
      </c>
      <c r="G106" s="17" t="n">
        <v>46401</v>
      </c>
      <c r="H106" s="18" t="s">
        <v>17</v>
      </c>
      <c r="I106" s="16"/>
    </row>
    <row r="107" customFormat="false" ht="15" hidden="false" customHeight="false" outlineLevel="0" collapsed="false">
      <c r="A107" s="16" t="s">
        <v>256</v>
      </c>
      <c r="B107" s="16" t="s">
        <v>38</v>
      </c>
      <c r="C107" s="16" t="s">
        <v>20</v>
      </c>
      <c r="D107" s="16" t="s">
        <v>41</v>
      </c>
      <c r="E107" s="16" t="s">
        <v>257</v>
      </c>
      <c r="F107" s="17" t="n">
        <v>46402</v>
      </c>
      <c r="G107" s="17" t="n">
        <v>46417</v>
      </c>
      <c r="H107" s="18" t="s">
        <v>17</v>
      </c>
      <c r="I107" s="16"/>
    </row>
    <row r="108" customFormat="false" ht="15" hidden="false" customHeight="false" outlineLevel="0" collapsed="false">
      <c r="A108" s="16" t="s">
        <v>258</v>
      </c>
      <c r="B108" s="16" t="s">
        <v>38</v>
      </c>
      <c r="C108" s="16" t="s">
        <v>20</v>
      </c>
      <c r="D108" s="16" t="s">
        <v>41</v>
      </c>
      <c r="E108" s="16" t="s">
        <v>259</v>
      </c>
      <c r="F108" s="17" t="n">
        <v>46402</v>
      </c>
      <c r="G108" s="17" t="n">
        <v>46417</v>
      </c>
      <c r="H108" s="18" t="s">
        <v>17</v>
      </c>
      <c r="I108" s="16"/>
    </row>
    <row r="109" customFormat="false" ht="15" hidden="false" customHeight="false" outlineLevel="0" collapsed="false">
      <c r="A109" s="16" t="s">
        <v>260</v>
      </c>
      <c r="B109" s="16" t="s">
        <v>38</v>
      </c>
      <c r="C109" s="16" t="s">
        <v>20</v>
      </c>
      <c r="D109" s="16" t="s">
        <v>41</v>
      </c>
      <c r="E109" s="16" t="s">
        <v>261</v>
      </c>
      <c r="F109" s="17" t="n">
        <v>46402</v>
      </c>
      <c r="G109" s="17" t="n">
        <v>46417</v>
      </c>
      <c r="H109" s="18" t="s">
        <v>17</v>
      </c>
      <c r="I109" s="16"/>
    </row>
    <row r="110" customFormat="false" ht="15" hidden="false" customHeight="false" outlineLevel="0" collapsed="false">
      <c r="A110" s="16" t="s">
        <v>262</v>
      </c>
      <c r="B110" s="16" t="s">
        <v>38</v>
      </c>
      <c r="C110" s="16" t="s">
        <v>20</v>
      </c>
      <c r="D110" s="16" t="s">
        <v>41</v>
      </c>
      <c r="E110" s="16" t="s">
        <v>263</v>
      </c>
      <c r="F110" s="17" t="n">
        <v>46402</v>
      </c>
      <c r="G110" s="17" t="n">
        <v>46415</v>
      </c>
      <c r="H110" s="18" t="s">
        <v>17</v>
      </c>
      <c r="I110" s="16"/>
    </row>
    <row r="111" customFormat="false" ht="23.85" hidden="false" customHeight="false" outlineLevel="0" collapsed="false">
      <c r="A111" s="16" t="s">
        <v>264</v>
      </c>
      <c r="B111" s="16" t="s">
        <v>38</v>
      </c>
      <c r="C111" s="16" t="s">
        <v>20</v>
      </c>
      <c r="D111" s="16" t="s">
        <v>41</v>
      </c>
      <c r="E111" s="16" t="s">
        <v>265</v>
      </c>
      <c r="F111" s="17" t="n">
        <v>46402</v>
      </c>
      <c r="G111" s="17" t="n">
        <v>46417</v>
      </c>
      <c r="H111" s="18" t="s">
        <v>17</v>
      </c>
      <c r="I111" s="16"/>
    </row>
    <row r="112" customFormat="false" ht="15" hidden="false" customHeight="false" outlineLevel="0" collapsed="false">
      <c r="A112" s="16" t="s">
        <v>266</v>
      </c>
      <c r="B112" s="16" t="s">
        <v>38</v>
      </c>
      <c r="C112" s="16" t="s">
        <v>21</v>
      </c>
      <c r="D112" s="16" t="s">
        <v>41</v>
      </c>
      <c r="E112" s="16" t="s">
        <v>267</v>
      </c>
      <c r="F112" s="17" t="n">
        <v>46402</v>
      </c>
      <c r="G112" s="17" t="n">
        <v>46401</v>
      </c>
      <c r="H112" s="18" t="s">
        <v>17</v>
      </c>
      <c r="I112" s="16"/>
    </row>
    <row r="113" customFormat="false" ht="23.85" hidden="false" customHeight="false" outlineLevel="0" collapsed="false">
      <c r="A113" s="16" t="s">
        <v>268</v>
      </c>
      <c r="B113" s="16" t="s">
        <v>38</v>
      </c>
      <c r="C113" s="16" t="s">
        <v>21</v>
      </c>
      <c r="D113" s="16" t="s">
        <v>41</v>
      </c>
      <c r="E113" s="16" t="s">
        <v>269</v>
      </c>
      <c r="F113" s="17" t="n">
        <v>46402</v>
      </c>
      <c r="G113" s="17" t="n">
        <v>46417</v>
      </c>
      <c r="H113" s="18" t="s">
        <v>17</v>
      </c>
      <c r="I113" s="16"/>
    </row>
    <row r="114" customFormat="false" ht="15" hidden="false" customHeight="false" outlineLevel="0" collapsed="false">
      <c r="A114" s="16" t="s">
        <v>270</v>
      </c>
      <c r="B114" s="16" t="s">
        <v>38</v>
      </c>
      <c r="C114" s="16" t="s">
        <v>21</v>
      </c>
      <c r="D114" s="16" t="s">
        <v>41</v>
      </c>
      <c r="E114" s="16" t="s">
        <v>271</v>
      </c>
      <c r="F114" s="17" t="n">
        <v>46402</v>
      </c>
      <c r="G114" s="17" t="n">
        <v>46417</v>
      </c>
      <c r="H114" s="18" t="s">
        <v>17</v>
      </c>
      <c r="I114" s="16"/>
    </row>
    <row r="115" customFormat="false" ht="15" hidden="false" customHeight="false" outlineLevel="0" collapsed="false">
      <c r="A115" s="16" t="s">
        <v>272</v>
      </c>
      <c r="B115" s="16" t="s">
        <v>38</v>
      </c>
      <c r="C115" s="16" t="s">
        <v>21</v>
      </c>
      <c r="D115" s="16" t="s">
        <v>41</v>
      </c>
      <c r="E115" s="16" t="s">
        <v>273</v>
      </c>
      <c r="F115" s="17" t="n">
        <v>46402</v>
      </c>
      <c r="G115" s="17" t="n">
        <v>46417</v>
      </c>
      <c r="H115" s="18" t="s">
        <v>17</v>
      </c>
      <c r="I115" s="16"/>
    </row>
    <row r="116" customFormat="false" ht="23.85" hidden="false" customHeight="false" outlineLevel="0" collapsed="false">
      <c r="A116" s="16" t="s">
        <v>274</v>
      </c>
      <c r="B116" s="16" t="s">
        <v>38</v>
      </c>
      <c r="C116" s="16" t="s">
        <v>21</v>
      </c>
      <c r="D116" s="16" t="s">
        <v>41</v>
      </c>
      <c r="E116" s="16" t="s">
        <v>275</v>
      </c>
      <c r="F116" s="17" t="n">
        <v>46402</v>
      </c>
      <c r="G116" s="17" t="n">
        <v>46415</v>
      </c>
      <c r="H116" s="18" t="s">
        <v>17</v>
      </c>
      <c r="I116" s="16"/>
    </row>
    <row r="117" customFormat="false" ht="23.85" hidden="false" customHeight="false" outlineLevel="0" collapsed="false">
      <c r="A117" s="16" t="s">
        <v>276</v>
      </c>
      <c r="B117" s="16" t="s">
        <v>38</v>
      </c>
      <c r="C117" s="16" t="s">
        <v>21</v>
      </c>
      <c r="D117" s="16" t="s">
        <v>41</v>
      </c>
      <c r="E117" s="16" t="s">
        <v>277</v>
      </c>
      <c r="F117" s="17" t="n">
        <v>46402</v>
      </c>
      <c r="G117" s="17" t="n">
        <v>46417</v>
      </c>
      <c r="H117" s="18" t="s">
        <v>17</v>
      </c>
      <c r="I117" s="16"/>
    </row>
  </sheetData>
  <autoFilter ref="A1:I117"/>
  <conditionalFormatting sqref="H2:H117">
    <cfRule type="expression" priority="2" aboveAverage="0" equalAverage="0" bottom="0" percent="0" rank="0" text="" dxfId="4">
      <formula>$H2="Done"</formula>
    </cfRule>
    <cfRule type="expression" priority="3" aboveAverage="0" equalAverage="0" bottom="0" percent="0" rank="0" text="" dxfId="5">
      <formula>$H2="In progress"</formula>
    </cfRule>
    <cfRule type="expression" priority="4" aboveAverage="0" equalAverage="0" bottom="0" percent="0" rank="0" text="" dxfId="6">
      <formula>$H2="Blocked"</formula>
    </cfRule>
  </conditionalFormatting>
  <dataValidations count="1">
    <dataValidation allowBlank="true" errorStyle="stop" operator="between" showDropDown="false" showErrorMessage="false" showInputMessage="false" sqref="H2:H117" type="list">
      <formula1>"Not started,In progress,Done,Blocked"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8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7" min="6" style="0" width="15"/>
    <col collapsed="false" customWidth="true" hidden="false" outlineLevel="0" max="8" min="8" style="0" width="16"/>
  </cols>
  <sheetData>
    <row r="1" customFormat="false" ht="39.55" hidden="false" customHeight="false" outlineLevel="0" collapsed="false">
      <c r="A1" s="9" t="s">
        <v>24</v>
      </c>
      <c r="B1" s="9" t="s">
        <v>278</v>
      </c>
      <c r="C1" s="9" t="s">
        <v>279</v>
      </c>
      <c r="D1" s="9" t="s">
        <v>280</v>
      </c>
      <c r="E1" s="9" t="s">
        <v>281</v>
      </c>
      <c r="F1" s="9" t="s">
        <v>282</v>
      </c>
      <c r="G1" s="9" t="s">
        <v>283</v>
      </c>
      <c r="H1" s="9" t="s">
        <v>284</v>
      </c>
    </row>
    <row r="2" customFormat="false" ht="15" hidden="false" customHeight="false" outlineLevel="0" collapsed="false">
      <c r="A2" s="16" t="s">
        <v>285</v>
      </c>
      <c r="B2" s="17" t="n">
        <v>46309</v>
      </c>
      <c r="C2" s="17" t="n">
        <v>46323</v>
      </c>
      <c r="D2" s="17" t="n">
        <v>46325</v>
      </c>
      <c r="E2" s="16" t="n">
        <f aca="false">C2-B2</f>
        <v>14</v>
      </c>
      <c r="F2" s="18" t="s">
        <v>17</v>
      </c>
      <c r="G2" s="18" t="s">
        <v>17</v>
      </c>
      <c r="H2" s="18" t="s">
        <v>17</v>
      </c>
    </row>
    <row r="3" customFormat="false" ht="15" hidden="false" customHeight="false" outlineLevel="0" collapsed="false">
      <c r="A3" s="16" t="s">
        <v>286</v>
      </c>
      <c r="B3" s="17" t="n">
        <v>46323</v>
      </c>
      <c r="C3" s="17" t="n">
        <v>46344</v>
      </c>
      <c r="D3" s="17" t="n">
        <v>46346</v>
      </c>
      <c r="E3" s="16" t="n">
        <f aca="false">C3-B3</f>
        <v>21</v>
      </c>
      <c r="F3" s="18" t="s">
        <v>17</v>
      </c>
      <c r="G3" s="18" t="s">
        <v>17</v>
      </c>
      <c r="H3" s="18" t="s">
        <v>17</v>
      </c>
    </row>
    <row r="4" customFormat="false" ht="15" hidden="false" customHeight="false" outlineLevel="0" collapsed="false">
      <c r="A4" s="16" t="s">
        <v>287</v>
      </c>
      <c r="B4" s="17" t="n">
        <v>46344</v>
      </c>
      <c r="C4" s="17" t="n">
        <v>46358</v>
      </c>
      <c r="D4" s="17" t="n">
        <v>46360</v>
      </c>
      <c r="E4" s="16" t="n">
        <f aca="false">C4-B4</f>
        <v>14</v>
      </c>
      <c r="F4" s="18" t="s">
        <v>17</v>
      </c>
      <c r="G4" s="18" t="s">
        <v>17</v>
      </c>
      <c r="H4" s="18" t="s">
        <v>17</v>
      </c>
    </row>
    <row r="5" customFormat="false" ht="15" hidden="false" customHeight="false" outlineLevel="0" collapsed="false">
      <c r="A5" s="16" t="s">
        <v>288</v>
      </c>
      <c r="B5" s="17" t="n">
        <v>46358</v>
      </c>
      <c r="C5" s="17" t="n">
        <v>46372</v>
      </c>
      <c r="D5" s="17" t="n">
        <v>46374</v>
      </c>
      <c r="E5" s="16" t="n">
        <f aca="false">C5-B5</f>
        <v>14</v>
      </c>
      <c r="F5" s="18" t="s">
        <v>17</v>
      </c>
      <c r="G5" s="18" t="s">
        <v>17</v>
      </c>
      <c r="H5" s="18" t="s">
        <v>17</v>
      </c>
    </row>
    <row r="6" customFormat="false" ht="15" hidden="false" customHeight="false" outlineLevel="0" collapsed="false">
      <c r="A6" s="16" t="s">
        <v>289</v>
      </c>
      <c r="B6" s="17" t="n">
        <v>46372</v>
      </c>
      <c r="C6" s="17" t="n">
        <v>46391</v>
      </c>
      <c r="D6" s="17" t="n">
        <v>46392</v>
      </c>
      <c r="E6" s="16" t="n">
        <f aca="false">C6-B6</f>
        <v>19</v>
      </c>
      <c r="F6" s="18" t="s">
        <v>17</v>
      </c>
      <c r="G6" s="18" t="s">
        <v>17</v>
      </c>
      <c r="H6" s="18" t="s">
        <v>17</v>
      </c>
    </row>
    <row r="7" customFormat="false" ht="15" hidden="false" customHeight="false" outlineLevel="0" collapsed="false">
      <c r="A7" s="16" t="s">
        <v>290</v>
      </c>
      <c r="B7" s="17" t="n">
        <v>46386</v>
      </c>
      <c r="C7" s="17" t="n">
        <v>46398</v>
      </c>
      <c r="D7" s="17" t="n">
        <v>46399</v>
      </c>
      <c r="E7" s="16" t="n">
        <f aca="false">C7-B7</f>
        <v>12</v>
      </c>
      <c r="F7" s="18" t="s">
        <v>17</v>
      </c>
      <c r="G7" s="18" t="s">
        <v>17</v>
      </c>
      <c r="H7" s="18" t="s">
        <v>17</v>
      </c>
    </row>
    <row r="9" customFormat="false" ht="45" hidden="false" customHeight="true" outlineLevel="0" collapsed="false">
      <c r="A9" s="21" t="s">
        <v>291</v>
      </c>
      <c r="B9" s="21"/>
      <c r="C9" s="21"/>
      <c r="D9" s="21"/>
      <c r="E9" s="21"/>
      <c r="F9" s="21"/>
      <c r="G9" s="21"/>
      <c r="H9" s="21"/>
    </row>
  </sheetData>
  <autoFilter ref="A1:H7"/>
  <mergeCells count="1">
    <mergeCell ref="A9:H9"/>
  </mergeCells>
  <conditionalFormatting sqref="F2:F7">
    <cfRule type="expression" priority="2" aboveAverage="0" equalAverage="0" bottom="0" percent="0" rank="0" text="" dxfId="4">
      <formula>$F2="Done"</formula>
    </cfRule>
    <cfRule type="expression" priority="3" aboveAverage="0" equalAverage="0" bottom="0" percent="0" rank="0" text="" dxfId="5">
      <formula>$F2="In progress"</formula>
    </cfRule>
    <cfRule type="expression" priority="4" aboveAverage="0" equalAverage="0" bottom="0" percent="0" rank="0" text="" dxfId="6">
      <formula>$F2="Blocked"</formula>
    </cfRule>
  </conditionalFormatting>
  <conditionalFormatting sqref="G2:G7">
    <cfRule type="expression" priority="5" aboveAverage="0" equalAverage="0" bottom="0" percent="0" rank="0" text="" dxfId="4">
      <formula>$G2="Done"</formula>
    </cfRule>
    <cfRule type="expression" priority="6" aboveAverage="0" equalAverage="0" bottom="0" percent="0" rank="0" text="" dxfId="5">
      <formula>$G2="In progress"</formula>
    </cfRule>
    <cfRule type="expression" priority="7" aboveAverage="0" equalAverage="0" bottom="0" percent="0" rank="0" text="" dxfId="6">
      <formula>$G2="Blocked"</formula>
    </cfRule>
  </conditionalFormatting>
  <conditionalFormatting sqref="H2:H7">
    <cfRule type="expression" priority="8" aboveAverage="0" equalAverage="0" bottom="0" percent="0" rank="0" text="" dxfId="4">
      <formula>$H2="Done"</formula>
    </cfRule>
    <cfRule type="expression" priority="9" aboveAverage="0" equalAverage="0" bottom="0" percent="0" rank="0" text="" dxfId="5">
      <formula>$H2="In progress"</formula>
    </cfRule>
    <cfRule type="expression" priority="10" aboveAverage="0" equalAverage="0" bottom="0" percent="0" rank="0" text="" dxfId="6">
      <formula>$H2="Blocked"</formula>
    </cfRule>
  </conditionalFormatting>
  <dataValidations count="3">
    <dataValidation allowBlank="true" errorStyle="stop" operator="between" showDropDown="false" showErrorMessage="false" showInputMessage="false" sqref="F2:F7" type="list">
      <formula1>"Not started,In progress,Done,Blocked"</formula1>
      <formula2>0</formula2>
    </dataValidation>
    <dataValidation allowBlank="true" errorStyle="stop" operator="between" showDropDown="false" showErrorMessage="false" showInputMessage="false" sqref="G2:G7" type="list">
      <formula1>"Not started,In progress,Done,Blocked"</formula1>
      <formula2>0</formula2>
    </dataValidation>
    <dataValidation allowBlank="true" errorStyle="stop" operator="between" showDropDown="false" showErrorMessage="false" showInputMessage="false" sqref="H2:H7" type="list">
      <formula1>"Not started,In progress,Done,Blocked"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0"/>
    <col collapsed="false" customWidth="true" hidden="false" outlineLevel="0" max="3" min="3" style="0" width="10"/>
  </cols>
  <sheetData>
    <row r="1" customFormat="false" ht="15" hidden="false" customHeight="false" outlineLevel="0" collapsed="false">
      <c r="A1" s="9" t="s">
        <v>292</v>
      </c>
      <c r="B1" s="9" t="s">
        <v>293</v>
      </c>
      <c r="C1" s="9" t="s">
        <v>12</v>
      </c>
    </row>
    <row r="2" customFormat="false" ht="15" hidden="false" customHeight="false" outlineLevel="0" collapsed="false">
      <c r="A2" s="17" t="n">
        <v>46401</v>
      </c>
      <c r="B2" s="16" t="s">
        <v>242</v>
      </c>
      <c r="C2" s="16" t="s">
        <v>294</v>
      </c>
    </row>
    <row r="3" customFormat="false" ht="15" hidden="false" customHeight="false" outlineLevel="0" collapsed="false">
      <c r="A3" s="17" t="n">
        <v>46402</v>
      </c>
      <c r="B3" s="16" t="s">
        <v>295</v>
      </c>
      <c r="C3" s="16" t="s">
        <v>294</v>
      </c>
    </row>
    <row r="4" customFormat="false" ht="15" hidden="false" customHeight="false" outlineLevel="0" collapsed="false">
      <c r="A4" s="17" t="n">
        <v>46402</v>
      </c>
      <c r="B4" s="16" t="s">
        <v>296</v>
      </c>
      <c r="C4" s="16" t="s">
        <v>294</v>
      </c>
    </row>
    <row r="5" customFormat="false" ht="15" hidden="false" customHeight="false" outlineLevel="0" collapsed="false">
      <c r="A5" s="17" t="n">
        <v>46409</v>
      </c>
      <c r="B5" s="16" t="s">
        <v>297</v>
      </c>
      <c r="C5" s="16" t="s">
        <v>294</v>
      </c>
    </row>
    <row r="6" customFormat="false" ht="15" hidden="false" customHeight="false" outlineLevel="0" collapsed="false">
      <c r="A6" s="17" t="n">
        <v>46412</v>
      </c>
      <c r="B6" s="16" t="s">
        <v>298</v>
      </c>
      <c r="C6" s="16" t="s">
        <v>294</v>
      </c>
    </row>
    <row r="7" customFormat="false" ht="15" hidden="false" customHeight="false" outlineLevel="0" collapsed="false">
      <c r="A7" s="17" t="n">
        <v>46413</v>
      </c>
      <c r="B7" s="16" t="s">
        <v>299</v>
      </c>
      <c r="C7" s="16" t="s">
        <v>300</v>
      </c>
    </row>
    <row r="8" customFormat="false" ht="15" hidden="false" customHeight="false" outlineLevel="0" collapsed="false">
      <c r="A8" s="17" t="n">
        <v>46414</v>
      </c>
      <c r="B8" s="16" t="s">
        <v>301</v>
      </c>
      <c r="C8" s="16" t="s">
        <v>294</v>
      </c>
    </row>
    <row r="9" customFormat="false" ht="15" hidden="false" customHeight="false" outlineLevel="0" collapsed="false">
      <c r="A9" s="17" t="n">
        <v>46415</v>
      </c>
      <c r="B9" s="16" t="s">
        <v>302</v>
      </c>
      <c r="C9" s="16" t="s">
        <v>294</v>
      </c>
    </row>
    <row r="10" customFormat="false" ht="15" hidden="false" customHeight="false" outlineLevel="0" collapsed="false">
      <c r="A10" s="17" t="n">
        <v>46416</v>
      </c>
      <c r="B10" s="16" t="s">
        <v>303</v>
      </c>
      <c r="C10" s="16" t="s">
        <v>294</v>
      </c>
    </row>
    <row r="11" customFormat="false" ht="15" hidden="false" customHeight="false" outlineLevel="0" collapsed="false">
      <c r="A11" s="17" t="n">
        <v>46417</v>
      </c>
      <c r="B11" s="16" t="s">
        <v>304</v>
      </c>
      <c r="C11" s="16" t="s">
        <v>294</v>
      </c>
    </row>
    <row r="13" customFormat="false" ht="15" hidden="false" customHeight="false" outlineLevel="0" collapsed="false">
      <c r="A13" s="4" t="s">
        <v>305</v>
      </c>
    </row>
    <row r="14" customFormat="false" ht="15" hidden="false" customHeight="false" outlineLevel="0" collapsed="false">
      <c r="A14" s="22" t="s">
        <v>306</v>
      </c>
      <c r="B14" s="22" t="s">
        <v>307</v>
      </c>
      <c r="C14" s="22" t="s">
        <v>308</v>
      </c>
    </row>
    <row r="15" customFormat="false" ht="15" hidden="false" customHeight="false" outlineLevel="0" collapsed="false">
      <c r="A15" s="10" t="s">
        <v>309</v>
      </c>
      <c r="B15" s="10" t="s">
        <v>310</v>
      </c>
      <c r="C15" s="10" t="s">
        <v>311</v>
      </c>
    </row>
    <row r="16" customFormat="false" ht="15" hidden="false" customHeight="false" outlineLevel="0" collapsed="false">
      <c r="A16" s="10" t="s">
        <v>312</v>
      </c>
      <c r="B16" s="10" t="s">
        <v>313</v>
      </c>
      <c r="C16" s="10" t="s">
        <v>314</v>
      </c>
    </row>
    <row r="17" customFormat="false" ht="15" hidden="false" customHeight="false" outlineLevel="0" collapsed="false">
      <c r="A17" s="10" t="s">
        <v>315</v>
      </c>
      <c r="B17" s="10" t="s">
        <v>316</v>
      </c>
      <c r="C17" s="10" t="s">
        <v>317</v>
      </c>
    </row>
    <row r="18" customFormat="false" ht="15" hidden="false" customHeight="false" outlineLevel="0" collapsed="false">
      <c r="A18" s="10" t="s">
        <v>318</v>
      </c>
      <c r="B18" s="10" t="s">
        <v>319</v>
      </c>
      <c r="C18" s="10" t="s">
        <v>320</v>
      </c>
    </row>
  </sheetData>
  <autoFilter ref="A1:C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70"/>
    <col collapsed="false" customWidth="true" hidden="false" outlineLevel="0" max="3" min="3" style="0" width="50"/>
  </cols>
  <sheetData>
    <row r="1" customFormat="false" ht="15" hidden="false" customHeight="false" outlineLevel="0" collapsed="false">
      <c r="A1" s="9" t="s">
        <v>321</v>
      </c>
      <c r="B1" s="9" t="s">
        <v>322</v>
      </c>
      <c r="C1" s="9" t="s">
        <v>323</v>
      </c>
    </row>
    <row r="2" customFormat="false" ht="15" hidden="false" customHeight="false" outlineLevel="0" collapsed="false">
      <c r="A2" s="16" t="s">
        <v>324</v>
      </c>
      <c r="B2" s="16" t="s">
        <v>325</v>
      </c>
      <c r="C2" s="16" t="s">
        <v>326</v>
      </c>
    </row>
    <row r="3" customFormat="false" ht="23.85" hidden="false" customHeight="false" outlineLevel="0" collapsed="false">
      <c r="A3" s="16" t="s">
        <v>327</v>
      </c>
      <c r="B3" s="16" t="s">
        <v>328</v>
      </c>
      <c r="C3" s="16" t="s">
        <v>329</v>
      </c>
    </row>
    <row r="4" customFormat="false" ht="23.85" hidden="false" customHeight="false" outlineLevel="0" collapsed="false">
      <c r="A4" s="16" t="s">
        <v>330</v>
      </c>
      <c r="B4" s="16" t="s">
        <v>331</v>
      </c>
      <c r="C4" s="16" t="s">
        <v>332</v>
      </c>
    </row>
    <row r="5" customFormat="false" ht="23.85" hidden="false" customHeight="false" outlineLevel="0" collapsed="false">
      <c r="A5" s="16" t="s">
        <v>333</v>
      </c>
      <c r="B5" s="16" t="s">
        <v>334</v>
      </c>
      <c r="C5" s="16" t="s">
        <v>335</v>
      </c>
    </row>
    <row r="6" customFormat="false" ht="23.85" hidden="false" customHeight="false" outlineLevel="0" collapsed="false">
      <c r="A6" s="16" t="s">
        <v>336</v>
      </c>
      <c r="B6" s="16" t="s">
        <v>337</v>
      </c>
      <c r="C6" s="16" t="s">
        <v>338</v>
      </c>
    </row>
    <row r="7" customFormat="false" ht="23.85" hidden="false" customHeight="false" outlineLevel="0" collapsed="false">
      <c r="A7" s="16" t="s">
        <v>339</v>
      </c>
      <c r="B7" s="16" t="s">
        <v>340</v>
      </c>
      <c r="C7" s="16" t="s">
        <v>341</v>
      </c>
    </row>
    <row r="8" customFormat="false" ht="15" hidden="false" customHeight="false" outlineLevel="0" collapsed="false">
      <c r="A8" s="16" t="s">
        <v>342</v>
      </c>
      <c r="B8" s="16" t="s">
        <v>343</v>
      </c>
      <c r="C8" s="16" t="s">
        <v>344</v>
      </c>
    </row>
    <row r="9" customFormat="false" ht="15" hidden="false" customHeight="false" outlineLevel="0" collapsed="false">
      <c r="A9" s="16" t="s">
        <v>345</v>
      </c>
      <c r="B9" s="16" t="s">
        <v>346</v>
      </c>
      <c r="C9" s="16" t="s">
        <v>347</v>
      </c>
    </row>
    <row r="10" customFormat="false" ht="15" hidden="false" customHeight="false" outlineLevel="0" collapsed="false">
      <c r="A10" s="16" t="s">
        <v>348</v>
      </c>
      <c r="B10" s="16" t="s">
        <v>349</v>
      </c>
      <c r="C10" s="16" t="s">
        <v>350</v>
      </c>
    </row>
    <row r="11" customFormat="false" ht="15" hidden="false" customHeight="false" outlineLevel="0" collapsed="false">
      <c r="A11" s="16" t="s">
        <v>351</v>
      </c>
      <c r="B11" s="16" t="s">
        <v>352</v>
      </c>
      <c r="C11" s="16" t="s">
        <v>353</v>
      </c>
    </row>
  </sheetData>
  <autoFilter ref="A1:C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8"/>
    <col collapsed="false" customWidth="true" hidden="false" outlineLevel="0" max="3" min="3" style="0" width="32"/>
    <col collapsed="false" customWidth="true" hidden="false" outlineLevel="0" max="4" min="4" style="0" width="62"/>
  </cols>
  <sheetData>
    <row r="1" customFormat="false" ht="15" hidden="false" customHeight="false" outlineLevel="0" collapsed="false">
      <c r="A1" s="9" t="s">
        <v>354</v>
      </c>
      <c r="B1" s="9" t="s">
        <v>355</v>
      </c>
      <c r="C1" s="9" t="s">
        <v>356</v>
      </c>
      <c r="D1" s="9" t="s">
        <v>357</v>
      </c>
    </row>
    <row r="2" customFormat="false" ht="23.85" hidden="false" customHeight="false" outlineLevel="0" collapsed="false">
      <c r="A2" s="16" t="s">
        <v>20</v>
      </c>
      <c r="B2" s="16" t="s">
        <v>358</v>
      </c>
      <c r="C2" s="16" t="s">
        <v>359</v>
      </c>
      <c r="D2" s="16" t="s">
        <v>360</v>
      </c>
    </row>
    <row r="3" customFormat="false" ht="23.85" hidden="false" customHeight="false" outlineLevel="0" collapsed="false">
      <c r="A3" s="16" t="s">
        <v>294</v>
      </c>
      <c r="B3" s="16" t="s">
        <v>361</v>
      </c>
      <c r="C3" s="16" t="s">
        <v>362</v>
      </c>
      <c r="D3" s="16" t="s">
        <v>363</v>
      </c>
    </row>
    <row r="4" customFormat="false" ht="23.85" hidden="false" customHeight="false" outlineLevel="0" collapsed="false">
      <c r="A4" s="16" t="s">
        <v>20</v>
      </c>
      <c r="B4" s="16" t="s">
        <v>364</v>
      </c>
      <c r="C4" s="16" t="s">
        <v>365</v>
      </c>
      <c r="D4" s="16" t="s">
        <v>366</v>
      </c>
    </row>
    <row r="5" customFormat="false" ht="15" hidden="false" customHeight="false" outlineLevel="0" collapsed="false">
      <c r="A5" s="16" t="s">
        <v>20</v>
      </c>
      <c r="B5" s="16" t="s">
        <v>367</v>
      </c>
      <c r="C5" s="16" t="s">
        <v>368</v>
      </c>
      <c r="D5" s="16" t="s">
        <v>369</v>
      </c>
    </row>
    <row r="6" customFormat="false" ht="15" hidden="false" customHeight="false" outlineLevel="0" collapsed="false">
      <c r="A6" s="16" t="s">
        <v>294</v>
      </c>
      <c r="B6" s="16" t="s">
        <v>370</v>
      </c>
      <c r="C6" s="16" t="s">
        <v>371</v>
      </c>
      <c r="D6" s="16" t="s">
        <v>372</v>
      </c>
    </row>
    <row r="7" customFormat="false" ht="15" hidden="false" customHeight="false" outlineLevel="0" collapsed="false">
      <c r="A7" s="16" t="s">
        <v>20</v>
      </c>
      <c r="B7" s="16" t="s">
        <v>373</v>
      </c>
      <c r="C7" s="16" t="s">
        <v>374</v>
      </c>
      <c r="D7" s="16" t="s">
        <v>375</v>
      </c>
    </row>
    <row r="8" customFormat="false" ht="15" hidden="false" customHeight="false" outlineLevel="0" collapsed="false">
      <c r="A8" s="16" t="s">
        <v>21</v>
      </c>
      <c r="B8" s="16" t="s">
        <v>376</v>
      </c>
      <c r="C8" s="16" t="s">
        <v>377</v>
      </c>
      <c r="D8" s="16" t="s">
        <v>378</v>
      </c>
    </row>
    <row r="9" customFormat="false" ht="23.85" hidden="false" customHeight="false" outlineLevel="0" collapsed="false">
      <c r="A9" s="16" t="s">
        <v>21</v>
      </c>
      <c r="B9" s="16" t="s">
        <v>379</v>
      </c>
      <c r="C9" s="16" t="s">
        <v>380</v>
      </c>
      <c r="D9" s="16" t="s">
        <v>381</v>
      </c>
    </row>
    <row r="10" customFormat="false" ht="15" hidden="false" customHeight="false" outlineLevel="0" collapsed="false">
      <c r="A10" s="16" t="s">
        <v>21</v>
      </c>
      <c r="B10" s="16" t="s">
        <v>382</v>
      </c>
      <c r="C10" s="16" t="s">
        <v>383</v>
      </c>
      <c r="D10" s="16" t="s">
        <v>384</v>
      </c>
    </row>
    <row r="11" customFormat="false" ht="15" hidden="false" customHeight="false" outlineLevel="0" collapsed="false">
      <c r="A11" s="16" t="s">
        <v>21</v>
      </c>
      <c r="B11" s="16" t="s">
        <v>385</v>
      </c>
      <c r="C11" s="16" t="s">
        <v>386</v>
      </c>
      <c r="D11" s="16" t="s">
        <v>387</v>
      </c>
    </row>
    <row r="12" customFormat="false" ht="15" hidden="false" customHeight="false" outlineLevel="0" collapsed="false">
      <c r="A12" s="16" t="s">
        <v>21</v>
      </c>
      <c r="B12" s="16" t="s">
        <v>388</v>
      </c>
      <c r="C12" s="16" t="s">
        <v>389</v>
      </c>
      <c r="D12" s="16" t="s">
        <v>390</v>
      </c>
    </row>
  </sheetData>
  <autoFilter ref="A1:D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70"/>
    <col collapsed="false" customWidth="true" hidden="false" outlineLevel="0" max="3" min="3" style="0" width="12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9" t="s">
        <v>12</v>
      </c>
      <c r="B1" s="9" t="s">
        <v>391</v>
      </c>
      <c r="C1" s="9" t="s">
        <v>43</v>
      </c>
      <c r="D1" s="9" t="s">
        <v>392</v>
      </c>
    </row>
    <row r="2" customFormat="false" ht="15" hidden="false" customHeight="false" outlineLevel="0" collapsed="false">
      <c r="A2" s="16" t="s">
        <v>393</v>
      </c>
      <c r="B2" s="16" t="s">
        <v>394</v>
      </c>
      <c r="C2" s="18" t="s">
        <v>395</v>
      </c>
      <c r="D2" s="16"/>
    </row>
    <row r="3" customFormat="false" ht="15" hidden="false" customHeight="false" outlineLevel="0" collapsed="false">
      <c r="A3" s="16" t="s">
        <v>393</v>
      </c>
      <c r="B3" s="16" t="s">
        <v>396</v>
      </c>
      <c r="C3" s="18" t="s">
        <v>395</v>
      </c>
      <c r="D3" s="16"/>
    </row>
    <row r="4" customFormat="false" ht="15" hidden="false" customHeight="false" outlineLevel="0" collapsed="false">
      <c r="A4" s="16" t="s">
        <v>20</v>
      </c>
      <c r="B4" s="16" t="s">
        <v>397</v>
      </c>
      <c r="C4" s="18" t="s">
        <v>395</v>
      </c>
      <c r="D4" s="16"/>
    </row>
    <row r="5" customFormat="false" ht="15" hidden="false" customHeight="false" outlineLevel="0" collapsed="false">
      <c r="A5" s="16" t="s">
        <v>20</v>
      </c>
      <c r="B5" s="16" t="s">
        <v>398</v>
      </c>
      <c r="C5" s="18" t="s">
        <v>395</v>
      </c>
      <c r="D5" s="16"/>
    </row>
    <row r="6" customFormat="false" ht="15" hidden="false" customHeight="false" outlineLevel="0" collapsed="false">
      <c r="A6" s="16" t="s">
        <v>393</v>
      </c>
      <c r="B6" s="16" t="s">
        <v>399</v>
      </c>
      <c r="C6" s="18" t="s">
        <v>395</v>
      </c>
      <c r="D6" s="16"/>
    </row>
    <row r="7" customFormat="false" ht="15" hidden="false" customHeight="false" outlineLevel="0" collapsed="false">
      <c r="A7" s="16" t="s">
        <v>21</v>
      </c>
      <c r="B7" s="16" t="s">
        <v>400</v>
      </c>
      <c r="C7" s="18" t="s">
        <v>395</v>
      </c>
      <c r="D7" s="16"/>
    </row>
    <row r="8" customFormat="false" ht="15" hidden="false" customHeight="false" outlineLevel="0" collapsed="false">
      <c r="A8" s="16" t="s">
        <v>21</v>
      </c>
      <c r="B8" s="16" t="s">
        <v>401</v>
      </c>
      <c r="C8" s="18" t="s">
        <v>395</v>
      </c>
      <c r="D8" s="16"/>
    </row>
    <row r="9" customFormat="false" ht="15" hidden="false" customHeight="false" outlineLevel="0" collapsed="false">
      <c r="A9" s="16" t="s">
        <v>21</v>
      </c>
      <c r="B9" s="16" t="s">
        <v>402</v>
      </c>
      <c r="C9" s="18" t="s">
        <v>395</v>
      </c>
      <c r="D9" s="16"/>
    </row>
  </sheetData>
  <autoFilter ref="A1:D9"/>
  <conditionalFormatting sqref="C2:C9">
    <cfRule type="expression" priority="2" aboveAverage="0" equalAverage="0" bottom="0" percent="0" rank="0" text="" dxfId="4">
      <formula>$C2="Done"</formula>
    </cfRule>
    <cfRule type="expression" priority="3" aboveAverage="0" equalAverage="0" bottom="0" percent="0" rank="0" text="" dxfId="5">
      <formula>$C2="In progress"</formula>
    </cfRule>
    <cfRule type="expression" priority="4" aboveAverage="0" equalAverage="0" bottom="0" percent="0" rank="0" text="" dxfId="6">
      <formula>$C2="Blocked"</formula>
    </cfRule>
  </conditionalFormatting>
  <dataValidations count="1">
    <dataValidation allowBlank="true" errorStyle="stop" operator="between" showDropDown="false" showErrorMessage="false" showInputMessage="false" sqref="C2:C9" type="list">
      <formula1>"Open,Decided"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2026-10-10T13:56:17Z</dcterms:created>
  <dc:creator>openpyxl</dc:creator>
  <dc:description/>
  <dc:language>en-US</dc:language>
  <cp:lastModifiedBy/>
  <dcterms:modified xsi:type="dcterms:W3CDTF">2026-10-10T13:56:18Z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